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8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9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10.xml" ContentType="application/vnd.openxmlformats-officedocument.drawing+xml"/>
  <Override PartName="/xl/charts/chart16.xml" ContentType="application/vnd.openxmlformats-officedocument.drawingml.chart+xml"/>
  <Override PartName="/xl/drawings/drawing11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12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drawings/drawing13.xml" ContentType="application/vnd.openxmlformats-officedocument.drawing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drawings/drawing14.xml" ContentType="application/vnd.openxmlformats-officedocument.drawing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15.xml" ContentType="application/vnd.openxmlformats-officedocument.drawing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drawings/drawing16.xml" ContentType="application/vnd.openxmlformats-officedocument.drawing+xml"/>
  <Override PartName="/xl/charts/chart29.xml" ContentType="application/vnd.openxmlformats-officedocument.drawingml.chart+xml"/>
  <Override PartName="/xl/drawings/drawing17.xml" ContentType="application/vnd.openxmlformats-officedocument.drawing+xml"/>
  <Override PartName="/xl/charts/chart30.xml" ContentType="application/vnd.openxmlformats-officedocument.drawingml.chart+xml"/>
  <Override PartName="/xl/drawings/drawing18.xml" ContentType="application/vnd.openxmlformats-officedocument.drawing+xml"/>
  <Override PartName="/xl/charts/chart31.xml" ContentType="application/vnd.openxmlformats-officedocument.drawingml.chart+xml"/>
  <Override PartName="/xl/drawings/drawing19.xml" ContentType="application/vnd.openxmlformats-officedocument.drawing+xml"/>
  <Override PartName="/xl/charts/chart32.xml" ContentType="application/vnd.openxmlformats-officedocument.drawingml.chart+xml"/>
  <Override PartName="/xl/drawings/drawing20.xml" ContentType="application/vnd.openxmlformats-officedocument.drawing+xml"/>
  <Override PartName="/xl/charts/chart33.xml" ContentType="application/vnd.openxmlformats-officedocument.drawingml.chart+xml"/>
  <Override PartName="/xl/drawings/drawing21.xml" ContentType="application/vnd.openxmlformats-officedocument.drawing+xml"/>
  <Override PartName="/xl/charts/chart34.xml" ContentType="application/vnd.openxmlformats-officedocument.drawingml.chart+xml"/>
  <Override PartName="/xl/drawings/drawing22.xml" ContentType="application/vnd.openxmlformats-officedocument.drawing+xml"/>
  <Override PartName="/xl/charts/chart35.xml" ContentType="application/vnd.openxmlformats-officedocument.drawingml.chart+xml"/>
  <Override PartName="/xl/drawings/drawing23.xml" ContentType="application/vnd.openxmlformats-officedocument.drawing+xml"/>
  <Override PartName="/xl/charts/chart3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ibm\niteesh\tools\opa_rego\keylime\multi_nodes\"/>
    </mc:Choice>
  </mc:AlternateContent>
  <xr:revisionPtr revIDLastSave="0" documentId="8_{C49A64BC-8AF6-4EB4-A703-7DBA5EBB2BF4}" xr6:coauthVersionLast="47" xr6:coauthVersionMax="47" xr10:uidLastSave="{00000000-0000-0000-0000-000000000000}"/>
  <bookViews>
    <workbookView xWindow="1848" yWindow="1848" windowWidth="17280" windowHeight="8880" xr2:uid="{D93493FB-F01A-4CC8-86CE-4C879B38E1A0}"/>
  </bookViews>
  <sheets>
    <sheet name="SYS_SUMM" sheetId="27" r:id="rId1"/>
    <sheet name="AAA" sheetId="3" r:id="rId2"/>
    <sheet name="BBBP" sheetId="4" r:id="rId3"/>
    <sheet name="DISK_SUMM" sheetId="19" r:id="rId4"/>
    <sheet name="CPU_ALL" sheetId="13" r:id="rId5"/>
    <sheet name="CPU_SUMM" sheetId="28" r:id="rId6"/>
    <sheet name="DISKBSIZE" sheetId="14" r:id="rId7"/>
    <sheet name="DISKBUSY" sheetId="15" r:id="rId8"/>
    <sheet name="DISKREAD" sheetId="16" r:id="rId9"/>
    <sheet name="DISKWRITE" sheetId="17" r:id="rId10"/>
    <sheet name="DISKXFER" sheetId="18" r:id="rId11"/>
    <sheet name="JFSFILE" sheetId="20" r:id="rId12"/>
    <sheet name="MEM" sheetId="21" r:id="rId13"/>
    <sheet name="NET" sheetId="22" r:id="rId14"/>
    <sheet name="NETPACKET" sheetId="23" r:id="rId15"/>
    <sheet name="PROC" sheetId="24" r:id="rId16"/>
    <sheet name="VM" sheetId="25" r:id="rId17"/>
    <sheet name="ZZZZ" sheetId="26" r:id="rId18"/>
    <sheet name="CPU001" sheetId="5" r:id="rId19"/>
    <sheet name="CPU002" sheetId="6" r:id="rId20"/>
    <sheet name="CPU003" sheetId="7" r:id="rId21"/>
    <sheet name="CPU004" sheetId="8" r:id="rId22"/>
    <sheet name="CPU005" sheetId="9" r:id="rId23"/>
    <sheet name="CPU006" sheetId="10" r:id="rId24"/>
    <sheet name="CPU007" sheetId="11" r:id="rId25"/>
    <sheet name="CPU008" sheetId="12" r:id="rId26"/>
  </sheets>
  <definedNames>
    <definedName name="boottime">AAA!$B$3</definedName>
    <definedName name="command">AAA!$B$4</definedName>
    <definedName name="cpus">AAA!$B$5</definedName>
    <definedName name="date">AAA!$B$6</definedName>
    <definedName name="disks">AAA!$B$7</definedName>
    <definedName name="disks_per_line">AAA!$B$8</definedName>
    <definedName name="host">AAA!$B$9</definedName>
    <definedName name="interval">AAA!$B$10</definedName>
    <definedName name="max_disks">AAA!$B$11</definedName>
    <definedName name="OS">AAA!$B$2</definedName>
    <definedName name="proc_stat_variables">AAA!$B$12</definedName>
    <definedName name="progname">AAA!$B$1</definedName>
    <definedName name="runname">AAA!$B$13</definedName>
    <definedName name="snapshots">AAA!$B$14</definedName>
    <definedName name="steal">AAA!$B$15</definedName>
    <definedName name="user">AAA!$B$17</definedName>
    <definedName name="version">AAA!$B$18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23" l="1"/>
  <c r="F13" i="23"/>
  <c r="G13" i="23"/>
  <c r="C13" i="23"/>
  <c r="D13" i="23"/>
  <c r="H13" i="23"/>
  <c r="H14" i="23" s="1"/>
  <c r="H17" i="23" s="1"/>
  <c r="I13" i="23"/>
  <c r="I14" i="23" s="1"/>
  <c r="I17" i="23" s="1"/>
  <c r="E14" i="23"/>
  <c r="E17" i="23" s="1"/>
  <c r="F14" i="23"/>
  <c r="F17" i="23" s="1"/>
  <c r="G14" i="23"/>
  <c r="G17" i="23" s="1"/>
  <c r="C14" i="23"/>
  <c r="C17" i="23" s="1"/>
  <c r="D14" i="23"/>
  <c r="D17" i="23" s="1"/>
  <c r="E15" i="23"/>
  <c r="F15" i="23"/>
  <c r="G15" i="23"/>
  <c r="C15" i="23"/>
  <c r="D15" i="23"/>
  <c r="H15" i="23"/>
  <c r="I15" i="23"/>
  <c r="E16" i="23"/>
  <c r="F16" i="23"/>
  <c r="G16" i="23"/>
  <c r="C16" i="23"/>
  <c r="D16" i="23"/>
  <c r="H16" i="23"/>
  <c r="I16" i="23"/>
  <c r="B16" i="23"/>
  <c r="B15" i="23"/>
  <c r="B13" i="23"/>
  <c r="C13" i="22"/>
  <c r="D13" i="22"/>
  <c r="E13" i="22"/>
  <c r="F13" i="22"/>
  <c r="G13" i="22"/>
  <c r="H13" i="22"/>
  <c r="H14" i="22" s="1"/>
  <c r="H17" i="22" s="1"/>
  <c r="I13" i="22"/>
  <c r="I14" i="22" s="1"/>
  <c r="I17" i="22" s="1"/>
  <c r="C14" i="22"/>
  <c r="C17" i="22" s="1"/>
  <c r="D14" i="22"/>
  <c r="D17" i="22" s="1"/>
  <c r="E14" i="22"/>
  <c r="E17" i="22" s="1"/>
  <c r="F14" i="22"/>
  <c r="F17" i="22" s="1"/>
  <c r="G14" i="22"/>
  <c r="G17" i="22" s="1"/>
  <c r="C15" i="22"/>
  <c r="D15" i="22"/>
  <c r="E15" i="22"/>
  <c r="F15" i="22"/>
  <c r="G15" i="22"/>
  <c r="H15" i="22"/>
  <c r="I15" i="22"/>
  <c r="C16" i="22"/>
  <c r="D16" i="22"/>
  <c r="E16" i="22"/>
  <c r="F16" i="22"/>
  <c r="G16" i="22"/>
  <c r="H16" i="22"/>
  <c r="I16" i="22"/>
  <c r="B17" i="22"/>
  <c r="B16" i="22"/>
  <c r="B15" i="22"/>
  <c r="B14" i="22"/>
  <c r="B13" i="22"/>
  <c r="N13" i="20"/>
  <c r="N14" i="20" s="1"/>
  <c r="N17" i="20" s="1"/>
  <c r="L13" i="20"/>
  <c r="B13" i="20"/>
  <c r="B14" i="20" s="1"/>
  <c r="B17" i="20" s="1"/>
  <c r="C13" i="20"/>
  <c r="D13" i="20"/>
  <c r="D17" i="20" s="1"/>
  <c r="E13" i="20"/>
  <c r="F13" i="20"/>
  <c r="F14" i="20" s="1"/>
  <c r="F17" i="20" s="1"/>
  <c r="G13" i="20"/>
  <c r="G14" i="20" s="1"/>
  <c r="G17" i="20" s="1"/>
  <c r="H13" i="20"/>
  <c r="I13" i="20"/>
  <c r="J13" i="20"/>
  <c r="K13" i="20"/>
  <c r="K14" i="20" s="1"/>
  <c r="M13" i="20"/>
  <c r="L14" i="20"/>
  <c r="C14" i="20"/>
  <c r="D14" i="20"/>
  <c r="E14" i="20"/>
  <c r="H14" i="20"/>
  <c r="M14" i="20"/>
  <c r="M17" i="20" s="1"/>
  <c r="N15" i="20"/>
  <c r="L15" i="20"/>
  <c r="B15" i="20"/>
  <c r="C15" i="20"/>
  <c r="D15" i="20"/>
  <c r="E15" i="20"/>
  <c r="F15" i="20"/>
  <c r="G15" i="20"/>
  <c r="H15" i="20"/>
  <c r="I15" i="20"/>
  <c r="J15" i="20"/>
  <c r="K15" i="20"/>
  <c r="M15" i="20"/>
  <c r="N16" i="20"/>
  <c r="L16" i="20"/>
  <c r="B16" i="20"/>
  <c r="C16" i="20"/>
  <c r="D16" i="20"/>
  <c r="E16" i="20"/>
  <c r="F16" i="20"/>
  <c r="G16" i="20"/>
  <c r="H16" i="20"/>
  <c r="I16" i="20"/>
  <c r="J16" i="20"/>
  <c r="K16" i="20"/>
  <c r="M16" i="20"/>
  <c r="L17" i="20"/>
  <c r="C17" i="20"/>
  <c r="E17" i="20"/>
  <c r="O16" i="20"/>
  <c r="O15" i="20"/>
  <c r="O14" i="20"/>
  <c r="O13" i="20"/>
  <c r="O17" i="20" s="1"/>
  <c r="C13" i="19"/>
  <c r="D13" i="19"/>
  <c r="C14" i="19"/>
  <c r="C17" i="19" s="1"/>
  <c r="D14" i="19"/>
  <c r="C15" i="19"/>
  <c r="D15" i="19"/>
  <c r="C16" i="19"/>
  <c r="D16" i="19"/>
  <c r="D17" i="19"/>
  <c r="B17" i="19"/>
  <c r="B16" i="19"/>
  <c r="B15" i="19"/>
  <c r="B14" i="19"/>
  <c r="B13" i="19"/>
  <c r="E13" i="18"/>
  <c r="F13" i="18"/>
  <c r="G13" i="18"/>
  <c r="H13" i="18"/>
  <c r="I13" i="18"/>
  <c r="J13" i="18"/>
  <c r="J17" i="18" s="1"/>
  <c r="K13" i="18"/>
  <c r="B13" i="18"/>
  <c r="C13" i="18"/>
  <c r="C14" i="18" s="1"/>
  <c r="L13" i="18"/>
  <c r="L14" i="18" s="1"/>
  <c r="M13" i="18"/>
  <c r="M14" i="18" s="1"/>
  <c r="N13" i="18"/>
  <c r="N14" i="18" s="1"/>
  <c r="O13" i="18"/>
  <c r="P13" i="18"/>
  <c r="Q13" i="18"/>
  <c r="R13" i="18"/>
  <c r="E14" i="18"/>
  <c r="F14" i="18"/>
  <c r="F17" i="18" s="1"/>
  <c r="G14" i="18"/>
  <c r="G17" i="18" s="1"/>
  <c r="H14" i="18"/>
  <c r="H17" i="18" s="1"/>
  <c r="I14" i="18"/>
  <c r="I17" i="18" s="1"/>
  <c r="J14" i="18"/>
  <c r="K14" i="18"/>
  <c r="K17" i="18" s="1"/>
  <c r="B14" i="18"/>
  <c r="B17" i="18" s="1"/>
  <c r="O14" i="18"/>
  <c r="P14" i="18"/>
  <c r="Q14" i="18"/>
  <c r="R14" i="18"/>
  <c r="R17" i="18" s="1"/>
  <c r="E15" i="18"/>
  <c r="F15" i="18"/>
  <c r="G15" i="18"/>
  <c r="H15" i="18"/>
  <c r="I15" i="18"/>
  <c r="J15" i="18"/>
  <c r="K15" i="18"/>
  <c r="B15" i="18"/>
  <c r="C15" i="18"/>
  <c r="L15" i="18"/>
  <c r="M15" i="18"/>
  <c r="N15" i="18"/>
  <c r="O15" i="18"/>
  <c r="P15" i="18"/>
  <c r="Q15" i="18"/>
  <c r="R15" i="18"/>
  <c r="E16" i="18"/>
  <c r="F16" i="18"/>
  <c r="G16" i="18"/>
  <c r="H16" i="18"/>
  <c r="I16" i="18"/>
  <c r="J16" i="18"/>
  <c r="K16" i="18"/>
  <c r="B16" i="18"/>
  <c r="C16" i="18"/>
  <c r="L16" i="18"/>
  <c r="M16" i="18"/>
  <c r="N16" i="18"/>
  <c r="O16" i="18"/>
  <c r="P16" i="18"/>
  <c r="Q16" i="18"/>
  <c r="R16" i="18"/>
  <c r="E17" i="18"/>
  <c r="O17" i="18"/>
  <c r="P17" i="18"/>
  <c r="Q17" i="18"/>
  <c r="D16" i="18"/>
  <c r="D15" i="18"/>
  <c r="D14" i="18"/>
  <c r="D17" i="18" s="1"/>
  <c r="D13" i="18"/>
  <c r="E13" i="17"/>
  <c r="F13" i="17"/>
  <c r="G13" i="17"/>
  <c r="H13" i="17"/>
  <c r="H17" i="17" s="1"/>
  <c r="I13" i="17"/>
  <c r="J13" i="17"/>
  <c r="K13" i="17"/>
  <c r="B13" i="17"/>
  <c r="C13" i="17"/>
  <c r="C14" i="17" s="1"/>
  <c r="L13" i="17"/>
  <c r="M13" i="17"/>
  <c r="N13" i="17"/>
  <c r="O13" i="17"/>
  <c r="P13" i="17"/>
  <c r="Q13" i="17"/>
  <c r="R13" i="17"/>
  <c r="E14" i="17"/>
  <c r="F14" i="17"/>
  <c r="F17" i="17" s="1"/>
  <c r="G14" i="17"/>
  <c r="G17" i="17" s="1"/>
  <c r="H14" i="17"/>
  <c r="I14" i="17"/>
  <c r="I17" i="17" s="1"/>
  <c r="J14" i="17"/>
  <c r="J17" i="17" s="1"/>
  <c r="K14" i="17"/>
  <c r="K17" i="17" s="1"/>
  <c r="B14" i="17"/>
  <c r="B17" i="17" s="1"/>
  <c r="O14" i="17"/>
  <c r="P14" i="17"/>
  <c r="Q14" i="17"/>
  <c r="R14" i="17"/>
  <c r="R17" i="17" s="1"/>
  <c r="E15" i="17"/>
  <c r="F15" i="17"/>
  <c r="G15" i="17"/>
  <c r="H15" i="17"/>
  <c r="I15" i="17"/>
  <c r="J15" i="17"/>
  <c r="K15" i="17"/>
  <c r="B15" i="17"/>
  <c r="C15" i="17"/>
  <c r="L15" i="17"/>
  <c r="M15" i="17"/>
  <c r="N15" i="17"/>
  <c r="O15" i="17"/>
  <c r="P15" i="17"/>
  <c r="Q15" i="17"/>
  <c r="R15" i="17"/>
  <c r="E16" i="17"/>
  <c r="F16" i="17"/>
  <c r="G16" i="17"/>
  <c r="H16" i="17"/>
  <c r="I16" i="17"/>
  <c r="J16" i="17"/>
  <c r="K16" i="17"/>
  <c r="B16" i="17"/>
  <c r="C16" i="17"/>
  <c r="L16" i="17"/>
  <c r="M16" i="17"/>
  <c r="N16" i="17"/>
  <c r="O16" i="17"/>
  <c r="P16" i="17"/>
  <c r="Q16" i="17"/>
  <c r="R16" i="17"/>
  <c r="E17" i="17"/>
  <c r="O17" i="17"/>
  <c r="P17" i="17"/>
  <c r="Q17" i="17"/>
  <c r="D16" i="17"/>
  <c r="D15" i="17"/>
  <c r="D13" i="17"/>
  <c r="D14" i="17" s="1"/>
  <c r="C13" i="16"/>
  <c r="D13" i="16"/>
  <c r="E13" i="16"/>
  <c r="F13" i="16"/>
  <c r="G13" i="16"/>
  <c r="H13" i="16"/>
  <c r="I13" i="16"/>
  <c r="J13" i="16"/>
  <c r="J17" i="16" s="1"/>
  <c r="K13" i="16"/>
  <c r="K14" i="16" s="1"/>
  <c r="L13" i="16"/>
  <c r="M13" i="16"/>
  <c r="N13" i="16"/>
  <c r="N14" i="16" s="1"/>
  <c r="O13" i="16"/>
  <c r="P13" i="16"/>
  <c r="Q13" i="16"/>
  <c r="R13" i="16"/>
  <c r="C14" i="16"/>
  <c r="C17" i="16" s="1"/>
  <c r="D14" i="16"/>
  <c r="D17" i="16" s="1"/>
  <c r="E14" i="16"/>
  <c r="E17" i="16" s="1"/>
  <c r="F14" i="16"/>
  <c r="F17" i="16" s="1"/>
  <c r="G14" i="16"/>
  <c r="G17" i="16" s="1"/>
  <c r="H14" i="16"/>
  <c r="H17" i="16" s="1"/>
  <c r="I14" i="16"/>
  <c r="I17" i="16" s="1"/>
  <c r="J14" i="16"/>
  <c r="O14" i="16"/>
  <c r="P14" i="16"/>
  <c r="P17" i="16" s="1"/>
  <c r="Q14" i="16"/>
  <c r="Q17" i="16" s="1"/>
  <c r="R14" i="16"/>
  <c r="R17" i="16" s="1"/>
  <c r="C15" i="16"/>
  <c r="D15" i="16"/>
  <c r="E15" i="16"/>
  <c r="F15" i="16"/>
  <c r="G15" i="16"/>
  <c r="H15" i="16"/>
  <c r="I15" i="16"/>
  <c r="J15" i="16"/>
  <c r="K15" i="16"/>
  <c r="L15" i="16"/>
  <c r="M15" i="16"/>
  <c r="N15" i="16"/>
  <c r="O15" i="16"/>
  <c r="P15" i="16"/>
  <c r="Q15" i="16"/>
  <c r="R15" i="16"/>
  <c r="C16" i="16"/>
  <c r="D16" i="16"/>
  <c r="E16" i="16"/>
  <c r="F16" i="16"/>
  <c r="G16" i="16"/>
  <c r="H16" i="16"/>
  <c r="I16" i="16"/>
  <c r="J16" i="16"/>
  <c r="K16" i="16"/>
  <c r="L16" i="16"/>
  <c r="M16" i="16"/>
  <c r="N16" i="16"/>
  <c r="O16" i="16"/>
  <c r="P16" i="16"/>
  <c r="Q16" i="16"/>
  <c r="R16" i="16"/>
  <c r="O17" i="16"/>
  <c r="B16" i="16"/>
  <c r="B15" i="16"/>
  <c r="B14" i="16"/>
  <c r="B17" i="16" s="1"/>
  <c r="B13" i="16"/>
  <c r="E13" i="15"/>
  <c r="F13" i="15"/>
  <c r="G13" i="15"/>
  <c r="H13" i="15"/>
  <c r="I13" i="15"/>
  <c r="J13" i="15"/>
  <c r="K13" i="15"/>
  <c r="K17" i="15" s="1"/>
  <c r="B13" i="15"/>
  <c r="C13" i="15"/>
  <c r="C14" i="15" s="1"/>
  <c r="L13" i="15"/>
  <c r="M13" i="15"/>
  <c r="N13" i="15"/>
  <c r="O13" i="15"/>
  <c r="P13" i="15"/>
  <c r="Q13" i="15"/>
  <c r="R13" i="15"/>
  <c r="E14" i="15"/>
  <c r="E17" i="15" s="1"/>
  <c r="F14" i="15"/>
  <c r="F17" i="15" s="1"/>
  <c r="G14" i="15"/>
  <c r="G17" i="15" s="1"/>
  <c r="H14" i="15"/>
  <c r="H17" i="15" s="1"/>
  <c r="I14" i="15"/>
  <c r="I17" i="15" s="1"/>
  <c r="J14" i="15"/>
  <c r="J17" i="15" s="1"/>
  <c r="K14" i="15"/>
  <c r="B14" i="15"/>
  <c r="B17" i="15" s="1"/>
  <c r="O14" i="15"/>
  <c r="P14" i="15"/>
  <c r="P17" i="15" s="1"/>
  <c r="Q14" i="15"/>
  <c r="R14" i="15"/>
  <c r="E15" i="15"/>
  <c r="F15" i="15"/>
  <c r="G15" i="15"/>
  <c r="H15" i="15"/>
  <c r="I15" i="15"/>
  <c r="J15" i="15"/>
  <c r="K15" i="15"/>
  <c r="B15" i="15"/>
  <c r="C15" i="15"/>
  <c r="L15" i="15"/>
  <c r="M15" i="15"/>
  <c r="N15" i="15"/>
  <c r="O15" i="15"/>
  <c r="P15" i="15"/>
  <c r="Q15" i="15"/>
  <c r="R15" i="15"/>
  <c r="E16" i="15"/>
  <c r="F16" i="15"/>
  <c r="G16" i="15"/>
  <c r="H16" i="15"/>
  <c r="I16" i="15"/>
  <c r="J16" i="15"/>
  <c r="K16" i="15"/>
  <c r="B16" i="15"/>
  <c r="C16" i="15"/>
  <c r="L16" i="15"/>
  <c r="M16" i="15"/>
  <c r="N16" i="15"/>
  <c r="O16" i="15"/>
  <c r="P16" i="15"/>
  <c r="Q16" i="15"/>
  <c r="R16" i="15"/>
  <c r="O17" i="15"/>
  <c r="Q17" i="15"/>
  <c r="R17" i="15"/>
  <c r="D16" i="15"/>
  <c r="D15" i="15"/>
  <c r="D13" i="15"/>
  <c r="D14" i="15" s="1"/>
  <c r="D17" i="15" s="1"/>
  <c r="E13" i="14"/>
  <c r="F13" i="14"/>
  <c r="G13" i="14"/>
  <c r="H13" i="14"/>
  <c r="H17" i="14" s="1"/>
  <c r="I13" i="14"/>
  <c r="J13" i="14"/>
  <c r="J17" i="14" s="1"/>
  <c r="K13" i="14"/>
  <c r="K14" i="14" s="1"/>
  <c r="B13" i="14"/>
  <c r="C13" i="14"/>
  <c r="C14" i="14" s="1"/>
  <c r="L13" i="14"/>
  <c r="L14" i="14" s="1"/>
  <c r="M13" i="14"/>
  <c r="N13" i="14"/>
  <c r="N14" i="14" s="1"/>
  <c r="O13" i="14"/>
  <c r="P13" i="14"/>
  <c r="Q13" i="14"/>
  <c r="R13" i="14"/>
  <c r="R14" i="14" s="1"/>
  <c r="R17" i="14" s="1"/>
  <c r="E14" i="14"/>
  <c r="F14" i="14"/>
  <c r="F17" i="14" s="1"/>
  <c r="G14" i="14"/>
  <c r="G17" i="14" s="1"/>
  <c r="H14" i="14"/>
  <c r="I14" i="14"/>
  <c r="I17" i="14" s="1"/>
  <c r="J14" i="14"/>
  <c r="B14" i="14"/>
  <c r="B17" i="14" s="1"/>
  <c r="O14" i="14"/>
  <c r="O17" i="14" s="1"/>
  <c r="P14" i="14"/>
  <c r="Q14" i="14"/>
  <c r="Q17" i="14" s="1"/>
  <c r="E15" i="14"/>
  <c r="F15" i="14"/>
  <c r="G15" i="14"/>
  <c r="H15" i="14"/>
  <c r="I15" i="14"/>
  <c r="J15" i="14"/>
  <c r="K15" i="14"/>
  <c r="B15" i="14"/>
  <c r="C15" i="14"/>
  <c r="L15" i="14"/>
  <c r="M15" i="14"/>
  <c r="N15" i="14"/>
  <c r="O15" i="14"/>
  <c r="P15" i="14"/>
  <c r="Q15" i="14"/>
  <c r="R15" i="14"/>
  <c r="E16" i="14"/>
  <c r="F16" i="14"/>
  <c r="G16" i="14"/>
  <c r="H16" i="14"/>
  <c r="I16" i="14"/>
  <c r="J16" i="14"/>
  <c r="K16" i="14"/>
  <c r="B16" i="14"/>
  <c r="C16" i="14"/>
  <c r="L16" i="14"/>
  <c r="M16" i="14"/>
  <c r="N16" i="14"/>
  <c r="O16" i="14"/>
  <c r="P16" i="14"/>
  <c r="Q16" i="14"/>
  <c r="R16" i="14"/>
  <c r="E17" i="14"/>
  <c r="P17" i="14"/>
  <c r="D16" i="14"/>
  <c r="D15" i="14"/>
  <c r="D13" i="14"/>
  <c r="B14" i="23" l="1"/>
  <c r="B17" i="23" s="1"/>
  <c r="I14" i="20"/>
  <c r="I17" i="20" s="1"/>
  <c r="H17" i="20"/>
  <c r="J14" i="20"/>
  <c r="J17" i="20" s="1"/>
  <c r="K17" i="20"/>
  <c r="N17" i="18"/>
  <c r="M17" i="18"/>
  <c r="L17" i="18"/>
  <c r="C17" i="18"/>
  <c r="D17" i="17"/>
  <c r="N14" i="17"/>
  <c r="N17" i="17" s="1"/>
  <c r="M14" i="17"/>
  <c r="M17" i="17" s="1"/>
  <c r="L14" i="17"/>
  <c r="L17" i="17" s="1"/>
  <c r="C17" i="17"/>
  <c r="N17" i="16"/>
  <c r="M14" i="16"/>
  <c r="M17" i="16" s="1"/>
  <c r="L14" i="16"/>
  <c r="L17" i="16" s="1"/>
  <c r="K17" i="16"/>
  <c r="N14" i="15"/>
  <c r="N17" i="15" s="1"/>
  <c r="M14" i="15"/>
  <c r="M17" i="15" s="1"/>
  <c r="L14" i="15"/>
  <c r="L17" i="15" s="1"/>
  <c r="C17" i="15"/>
  <c r="D14" i="14"/>
  <c r="D17" i="14" s="1"/>
  <c r="K17" i="14"/>
  <c r="N17" i="14"/>
  <c r="M14" i="14"/>
  <c r="M17" i="14" s="1"/>
  <c r="L17" i="14"/>
  <c r="C17" i="14"/>
</calcChain>
</file>

<file path=xl/sharedStrings.xml><?xml version="1.0" encoding="utf-8"?>
<sst xmlns="http://schemas.openxmlformats.org/spreadsheetml/2006/main" count="2085" uniqueCount="846">
  <si>
    <t>progname</t>
  </si>
  <si>
    <t>nmon</t>
  </si>
  <si>
    <t>OS</t>
  </si>
  <si>
    <t>Linux</t>
  </si>
  <si>
    <t>5.15.0-50-generic</t>
  </si>
  <si>
    <t>#56-Ubuntu SMP Tue Sep 20 13:23:26 UTC 2022</t>
  </si>
  <si>
    <t>x86_64</t>
  </si>
  <si>
    <t>boottime</t>
  </si>
  <si>
    <t>command</t>
  </si>
  <si>
    <t xml:space="preserve">nmon -f -c 10 -s 1 -T -F upload_data_200.nmon </t>
  </si>
  <si>
    <t>cpus</t>
  </si>
  <si>
    <t>date</t>
  </si>
  <si>
    <t>disks</t>
  </si>
  <si>
    <t>disks_per_line</t>
  </si>
  <si>
    <t>host</t>
  </si>
  <si>
    <t>css-xcat4</t>
  </si>
  <si>
    <t>interval</t>
  </si>
  <si>
    <t>max_disks</t>
  </si>
  <si>
    <t>set by -d option</t>
  </si>
  <si>
    <t>proc_stat_variables</t>
  </si>
  <si>
    <t>runname</t>
  </si>
  <si>
    <t>snapshots</t>
  </si>
  <si>
    <t>steal</t>
  </si>
  <si>
    <t>time</t>
  </si>
  <si>
    <t>user</t>
  </si>
  <si>
    <t>niteesh</t>
  </si>
  <si>
    <t>version</t>
  </si>
  <si>
    <t>16n</t>
  </si>
  <si>
    <t>/etc/release</t>
  </si>
  <si>
    <t>DISTRIB_ID=Ubuntu</t>
  </si>
  <si>
    <t>DISTRIB_RELEASE=22.04</t>
  </si>
  <si>
    <t>DISTRIB_CODENAME=jammy</t>
  </si>
  <si>
    <t>DISTRIB_DESCRIPTION=QUbuntu 22.04.1 LTSQ</t>
  </si>
  <si>
    <t>PRETTY_NAME=QUbuntu 22.04.1 LTSQ</t>
  </si>
  <si>
    <t>NAME=QUbuntuQ</t>
  </si>
  <si>
    <t>VERSION_ID=Q22.04Q</t>
  </si>
  <si>
    <t>VERSION=Q22.04.1 LTS (Jammy Jellyfish)Q</t>
  </si>
  <si>
    <t>VERSION_CODENAME=jammy</t>
  </si>
  <si>
    <t>ID=ubuntu</t>
  </si>
  <si>
    <t>ID_LIKE=debian</t>
  </si>
  <si>
    <t>HOME_URL=Qhttps://www.ubuntu.com/Q</t>
  </si>
  <si>
    <t>SUPPORT_URL=Qhttps://help.ubuntu.com/Q</t>
  </si>
  <si>
    <t>BUG_REPORT_URL=Qhttps://bugs.launchpad.net/ubuntu/Q</t>
  </si>
  <si>
    <t>PRIVACY_POLICY_URL=Qhttps://www.ubuntu.com/legal/terms-and-policies/privacy-policyQ</t>
  </si>
  <si>
    <t>UBUNTU_CODENAME=jammy</t>
  </si>
  <si>
    <t>lsb_release</t>
  </si>
  <si>
    <t>fdisk-l</t>
  </si>
  <si>
    <t>lsblk</t>
  </si>
  <si>
    <t>NAME    MAJ:MIN RM   SIZE RO TYPE MOUNTPOINTS</t>
  </si>
  <si>
    <t>loop0     7:0    0     4K  1 loop /snap/bare/5</t>
  </si>
  <si>
    <t>loop1     7:1    0  63.3M  1 loop /snap/core20/1778</t>
  </si>
  <si>
    <t>loop2     7:2    0  63.3M  1 loop /snap/core20/1822</t>
  </si>
  <si>
    <t>loop3     7:3    0 239.1M  1 loop /snap/firefox/2311</t>
  </si>
  <si>
    <t>loop4     7:4    0 240.6M  1 loop /snap/firefox/2356</t>
  </si>
  <si>
    <t>loop5     7:5    0 346.3M  1 loop /snap/gnome-3-38-2004/119</t>
  </si>
  <si>
    <t>loop6     7:6    0  91.7M  1 loop /snap/gtk-common-themes/1535</t>
  </si>
  <si>
    <t>loop7     7:7    0   103M  1 loop /snap/lxd/23541</t>
  </si>
  <si>
    <t>loop8     7:8    0 111.9M  1 loop /snap/lxd/24322</t>
  </si>
  <si>
    <t>loop9     7:9    0  49.8M  1 loop /snap/snapd/17950</t>
  </si>
  <si>
    <t>loop10    7:10   0  49.8M  1 loop /snap/snapd/18357</t>
  </si>
  <si>
    <t xml:space="preserve">vda     252:0    0    50G  0 disk </t>
  </si>
  <si>
    <t>â”œâ”€vda1  252:1    0  49.9G  0 part /var/lib/containers/storage/overlay</t>
  </si>
  <si>
    <t>â”‚                                 /var/snap/firefox/common/host-hunspell</t>
  </si>
  <si>
    <t>â”‚                                 /</t>
  </si>
  <si>
    <t xml:space="preserve">â”œâ”€vda14 252:14   0     4M  0 part </t>
  </si>
  <si>
    <t>â””â”€vda15 252:15   0   106M  0 part /boot/efi</t>
  </si>
  <si>
    <t xml:space="preserve">vdb     252:16   0   374K  0 disk </t>
  </si>
  <si>
    <t>lscpu</t>
  </si>
  <si>
    <t>Architecture:                    x86_64</t>
  </si>
  <si>
    <t>CPU op-mode(s):                  32-bit, 64-bit</t>
  </si>
  <si>
    <t>Address sizes:                   40 bits physical, 48 bits virtual</t>
  </si>
  <si>
    <t>Byte Order:                      Little Endian</t>
  </si>
  <si>
    <t>CPU(s):                          8</t>
  </si>
  <si>
    <t>On-line CPU(s) list:             0-7</t>
  </si>
  <si>
    <t>Vendor ID:                       GenuineIntel</t>
  </si>
  <si>
    <t>Model name:                      Intel Core Processor (Haswell, no TSX, IBRS)</t>
  </si>
  <si>
    <t>CPU family:                      6</t>
  </si>
  <si>
    <t>Model:                           60</t>
  </si>
  <si>
    <t>Thread(s) per core:              1</t>
  </si>
  <si>
    <t>Core(s) per socket:              8</t>
  </si>
  <si>
    <t>Socket(s):                       1</t>
  </si>
  <si>
    <t>Stepping:                        1</t>
  </si>
  <si>
    <t>BogoMIPS:                        4599.96</t>
  </si>
  <si>
    <t>Flags:                           fpu vme de pse tsc msr pae mce cx8 apic sep mtrr pge mca cmov pat pse36 clflush mmx fxsr sse sse2 ss ht syscall nx pdpe1gb rdtscp lm constant_tsc rep_good nopl xtopology cpuid tsc_known_freq pni pclmulqdq vmx ssse3 fma cx16 pcid sse4_1 sse4_2 x2apic movbe popcnt tsc_deadline_timer aes xsave avx f16c rdrand hypervisor lahf_lm abm cpuid_fault invpcid_single pti ssbd ibrs ibpb stibp tpr_shadow vnmi flexpriority ept vpid ept_ad fsgsbase tsc_adjust bmi1 avx2 smep bmi2 erms invpcid xsaveopt arat umip md_clear arch_capabilities</t>
  </si>
  <si>
    <t>Virtualization:                  VT-x</t>
  </si>
  <si>
    <t>Hypervisor vendor:               KVM</t>
  </si>
  <si>
    <t>Virtualization type:             full</t>
  </si>
  <si>
    <t>L1d cache:                       256 KiB (8 instances)</t>
  </si>
  <si>
    <t>L1i cache:                       256 KiB (8 instances)</t>
  </si>
  <si>
    <t>L2 cache:                        32 MiB (8 instances)</t>
  </si>
  <si>
    <t>L3 cache:                        16 MiB (1 instance)</t>
  </si>
  <si>
    <t>NUMA node(s):                    1</t>
  </si>
  <si>
    <t>NUMA node0 CPU(s):               0-7</t>
  </si>
  <si>
    <t>Vulnerability Itlb multihit:     Not affected</t>
  </si>
  <si>
    <t>Vulnerability L1tf:              Mitigation; PTE Inversion; VMX flush not necessary, SMT disabled</t>
  </si>
  <si>
    <t>Vulnerability Mds:               Mitigation; Clear CPU buffers; SMT Host state unknown</t>
  </si>
  <si>
    <t>Vulnerability Meltdown:          Mitigation; PTI</t>
  </si>
  <si>
    <t>Vulnerability Mmio stale data:   Not affected</t>
  </si>
  <si>
    <t>Vulnerability Retbleed:          Not affected</t>
  </si>
  <si>
    <t>Vulnerability Spec store bypass: Mitigation; Speculative Store Bypass disabled via prctl and seccomp</t>
  </si>
  <si>
    <t>Vulnerability Spectre v1:        Mitigation; usercopy/swapgs barriers and __user pointer sanitization</t>
  </si>
  <si>
    <t>Vulnerability Spectre v2:        Mitigation; Retpolines, IBPB conditional, IBRS_FW, STIBP disabled, RSB filling, PBRSB-eIBRS Not affected</t>
  </si>
  <si>
    <t>Vulnerability Srbds:             Unknown: Dependent on hypervisor status</t>
  </si>
  <si>
    <t>Vulnerability Tsx async abort:   Not affected</t>
  </si>
  <si>
    <t>lshw</t>
  </si>
  <si>
    <t xml:space="preserve">    description: Computer</t>
  </si>
  <si>
    <t xml:space="preserve">    width: 64 bits</t>
  </si>
  <si>
    <t xml:space="preserve">    capabilities: smp vsyscall32</t>
  </si>
  <si>
    <t xml:space="preserve">  *-core</t>
  </si>
  <si>
    <t xml:space="preserve">       description: Motherboard</t>
  </si>
  <si>
    <t xml:space="preserve">       physical id: 0</t>
  </si>
  <si>
    <t xml:space="preserve">     *-memory</t>
  </si>
  <si>
    <t xml:space="preserve">          description: System memory</t>
  </si>
  <si>
    <t xml:space="preserve">          physical id: 0</t>
  </si>
  <si>
    <t xml:space="preserve">          size: 8GiB</t>
  </si>
  <si>
    <t xml:space="preserve">     *-cpu</t>
  </si>
  <si>
    <t xml:space="preserve">          product: Intel Core Processor (Haswell, no TSX, IBRS)</t>
  </si>
  <si>
    <t xml:space="preserve">          vendor: Intel Corp.</t>
  </si>
  <si>
    <t xml:space="preserve">          physical id: 1</t>
  </si>
  <si>
    <t xml:space="preserve">          bus info: cpu@0</t>
  </si>
  <si>
    <t xml:space="preserve">          version: 6.60.1</t>
  </si>
  <si>
    <t xml:space="preserve">          width: 64 bits</t>
  </si>
  <si>
    <t xml:space="preserve">          capabilities: fpu fpu_exception wp vme de pse tsc msr pae mce cx8 apic sep mtrr pge mca cmov pat pse36 clflush mmx fxsr sse sse2 ss ht syscall nx pdpe1gb rdtscp x86-64 constant_tsc rep_good nopl xtopology cpuid tsc_known_freq pni pclmulqdq vmx ssse3 fma cx16 pcid sse4_1 sse4_2 x2apic movbe popcnt tsc_deadline_timer aes xsave avx f16c rdrand hypervisor lahf_lm abm cpuid_fault invpcid_single pti ssbd ibrs ibpb stibp tpr_shadow vnmi flexpriority ept vpid ept_ad fsgsbase tsc_adjust bmi1 avx2 smep bmi2 erms invpcid xsaveopt arat umip md_clear arch_capabilities</t>
  </si>
  <si>
    <t xml:space="preserve">          configuration: microcode=1</t>
  </si>
  <si>
    <t xml:space="preserve">     *-pci</t>
  </si>
  <si>
    <t xml:space="preserve">          description: Host bridge</t>
  </si>
  <si>
    <t xml:space="preserve">          product: 440FX - 82441FX PMC [Natoma]</t>
  </si>
  <si>
    <t xml:space="preserve">          vendor: Intel Corporation</t>
  </si>
  <si>
    <t xml:space="preserve">          physical id: 100</t>
  </si>
  <si>
    <t xml:space="preserve">          bus info: pci@0000:00:00.0</t>
  </si>
  <si>
    <t xml:space="preserve">          version: 02</t>
  </si>
  <si>
    <t xml:space="preserve">          width: 32 bits</t>
  </si>
  <si>
    <t xml:space="preserve">          clock: 33MHz</t>
  </si>
  <si>
    <t xml:space="preserve">        *-isa</t>
  </si>
  <si>
    <t xml:space="preserve">             description: ISA bridge</t>
  </si>
  <si>
    <t xml:space="preserve">             product: 82371SB PIIX3 ISA [Natoma/Triton II]</t>
  </si>
  <si>
    <t xml:space="preserve">             vendor: Intel Corporation</t>
  </si>
  <si>
    <t xml:space="preserve">             physical id: 1</t>
  </si>
  <si>
    <t xml:space="preserve">             bus info: pci@0000:00:01.0</t>
  </si>
  <si>
    <t xml:space="preserve">             version: 00</t>
  </si>
  <si>
    <t xml:space="preserve">             width: 32 bits</t>
  </si>
  <si>
    <t xml:space="preserve">             clock: 33MHz</t>
  </si>
  <si>
    <t xml:space="preserve">             capabilities: isa</t>
  </si>
  <si>
    <t xml:space="preserve">             configuration: latency=0</t>
  </si>
  <si>
    <t xml:space="preserve">           *-pnp00:00</t>
  </si>
  <si>
    <t xml:space="preserve">                product: PnP device PNP0b00</t>
  </si>
  <si>
    <t xml:space="preserve">                physical id: 0</t>
  </si>
  <si>
    <t xml:space="preserve">                capabilities: pnp</t>
  </si>
  <si>
    <t xml:space="preserve">                configuration: driver=rtc_cmos</t>
  </si>
  <si>
    <t xml:space="preserve">           *-pnp00:01</t>
  </si>
  <si>
    <t xml:space="preserve">                product: PnP device PNP0303</t>
  </si>
  <si>
    <t xml:space="preserve">                physical id: 1</t>
  </si>
  <si>
    <t xml:space="preserve">                configuration: driver=i8042 kbd</t>
  </si>
  <si>
    <t xml:space="preserve">           *-pnp00:02</t>
  </si>
  <si>
    <t xml:space="preserve">                product: PnP device PNP0f13</t>
  </si>
  <si>
    <t xml:space="preserve">                physical id: 2</t>
  </si>
  <si>
    <t xml:space="preserve">                configuration: driver=i8042 aux</t>
  </si>
  <si>
    <t xml:space="preserve">           *-pnp00:03</t>
  </si>
  <si>
    <t xml:space="preserve">                product: PnP device PNP0700</t>
  </si>
  <si>
    <t xml:space="preserve">                physical id: 3</t>
  </si>
  <si>
    <t xml:space="preserve">           *-pnp00:04</t>
  </si>
  <si>
    <t xml:space="preserve">                product: PnP device PNP0501</t>
  </si>
  <si>
    <t xml:space="preserve">                physical id: 4</t>
  </si>
  <si>
    <t xml:space="preserve">                configuration: driver=serial</t>
  </si>
  <si>
    <t xml:space="preserve">        *-ide</t>
  </si>
  <si>
    <t xml:space="preserve">             description: IDE interface</t>
  </si>
  <si>
    <t xml:space="preserve">             product: 82371SB PIIX3 IDE [Natoma/Triton II]</t>
  </si>
  <si>
    <t xml:space="preserve">             physical id: 1.1</t>
  </si>
  <si>
    <t xml:space="preserve">             bus info: pci@0000:00:01.1</t>
  </si>
  <si>
    <t xml:space="preserve">             capabilities: ide isa_compat_mode bus_master</t>
  </si>
  <si>
    <t xml:space="preserve">             configuration: driver=ata_piix latency=0</t>
  </si>
  <si>
    <t xml:space="preserve">             resources: irq:0 ioport:1f0(size=8) ioport:3f6 ioport:170(size=8) ioport:376 ioport:c1c0(size=16)</t>
  </si>
  <si>
    <t xml:space="preserve">        *-bridge</t>
  </si>
  <si>
    <t xml:space="preserve">             description: Bridge</t>
  </si>
  <si>
    <t xml:space="preserve">             product: 82371AB/EB/MB PIIX4 ACPI</t>
  </si>
  <si>
    <t xml:space="preserve">             physical id: 1.3</t>
  </si>
  <si>
    <t xml:space="preserve">             bus info: pci@0000:00:01.3</t>
  </si>
  <si>
    <t xml:space="preserve">             version: 03</t>
  </si>
  <si>
    <t xml:space="preserve">             capabilities: bridge</t>
  </si>
  <si>
    <t xml:space="preserve">             configuration: driver=piix4_smbus latency=0</t>
  </si>
  <si>
    <t xml:space="preserve">             resources: irq:9</t>
  </si>
  <si>
    <t xml:space="preserve">        *-display</t>
  </si>
  <si>
    <t xml:space="preserve">             description: VGA compatible controller</t>
  </si>
  <si>
    <t xml:space="preserve">             product: QXL paravirtual graphic card</t>
  </si>
  <si>
    <t xml:space="preserve">             vendor: Red Hat, Inc.</t>
  </si>
  <si>
    <t xml:space="preserve">             physical id: 2</t>
  </si>
  <si>
    <t xml:space="preserve">             bus info: pci@0000:00:02.0</t>
  </si>
  <si>
    <t xml:space="preserve">             logical name: /dev/fb0</t>
  </si>
  <si>
    <t xml:space="preserve">             version: 04</t>
  </si>
  <si>
    <t xml:space="preserve">             capabilities: vga_controller rom fb</t>
  </si>
  <si>
    <t xml:space="preserve">             configuration: depth=32 driver=qxl latency=0 resolution=1024,768</t>
  </si>
  <si>
    <t xml:space="preserve">             resources: irq:10 memory:f4000000-f7ffffff memory:f8000000-fbffffff memory:fc0b0000-fc0b1fff ioport:c140(size=32) memory:c0000-dffff</t>
  </si>
  <si>
    <t xml:space="preserve">        *-network</t>
  </si>
  <si>
    <t xml:space="preserve">             description: Ethernet interface</t>
  </si>
  <si>
    <t xml:space="preserve">             product: 82540EM Gigabit Ethernet Controller</t>
  </si>
  <si>
    <t xml:space="preserve">             physical id: 3</t>
  </si>
  <si>
    <t xml:space="preserve">             bus info: pci@0000:00:03.0</t>
  </si>
  <si>
    <t xml:space="preserve">             logical name: eth0</t>
  </si>
  <si>
    <t xml:space="preserve">             serial: 52:54:7f:fd:d9:69</t>
  </si>
  <si>
    <t xml:space="preserve">             size: 1Gbit/s</t>
  </si>
  <si>
    <t xml:space="preserve">             capacity: 1Gbit/s</t>
  </si>
  <si>
    <t xml:space="preserve">             capabilities: bus_master rom ethernet physical tp 10bt 10bt-fd 100bt 100bt-fd 1000bt-fd autonegotiation</t>
  </si>
  <si>
    <t xml:space="preserve">             configuration: autonegotiation=on broadcast=yes driver=e1000 driverversion=5.15.0-50-generic duplex=full ip=100.64.252.14 latency=0 link=yes multicast=yes port=twisted pair speed=1Gbit/s</t>
  </si>
  <si>
    <t xml:space="preserve">             resources: irq:11 memory:fc080000-fc09ffff ioport:c100(size=64) memory:fc000000-fc07ffff</t>
  </si>
  <si>
    <t xml:space="preserve">        *-usb:0</t>
  </si>
  <si>
    <t xml:space="preserve">             description: USB controller</t>
  </si>
  <si>
    <t xml:space="preserve">             product: 82801I (ICH9 Family) USB UHCI Controller #1</t>
  </si>
  <si>
    <t xml:space="preserve">             physical id: 4</t>
  </si>
  <si>
    <t xml:space="preserve">             bus info: pci@0000:00:04.0</t>
  </si>
  <si>
    <t xml:space="preserve">             capabilities: uhci bus_master</t>
  </si>
  <si>
    <t xml:space="preserve">             configuration: driver=uhci_hcd latency=0</t>
  </si>
  <si>
    <t xml:space="preserve">             resources: irq:11 ioport:c160(size=32)</t>
  </si>
  <si>
    <t xml:space="preserve">        *-usb:1</t>
  </si>
  <si>
    <t xml:space="preserve">             product: 82801I (ICH9 Family) USB UHCI Controller #2</t>
  </si>
  <si>
    <t xml:space="preserve">             physical id: 4.1</t>
  </si>
  <si>
    <t xml:space="preserve">             bus info: pci@0000:00:04.1</t>
  </si>
  <si>
    <t xml:space="preserve">             resources: irq:10 ioport:c180(size=32)</t>
  </si>
  <si>
    <t xml:space="preserve">        *-usb:2</t>
  </si>
  <si>
    <t xml:space="preserve">             product: 82801I (ICH9 Family) USB UHCI Controller #3</t>
  </si>
  <si>
    <t xml:space="preserve">             physical id: 4.2</t>
  </si>
  <si>
    <t xml:space="preserve">             bus info: pci@0000:00:04.2</t>
  </si>
  <si>
    <t xml:space="preserve">             resources: irq:10 ioport:c1a0(size=32)</t>
  </si>
  <si>
    <t xml:space="preserve">        *-usb:3</t>
  </si>
  <si>
    <t xml:space="preserve">             product: 82801I (ICH9 Family) USB2 EHCI Controller #1</t>
  </si>
  <si>
    <t xml:space="preserve">             physical id: 4.7</t>
  </si>
  <si>
    <t xml:space="preserve">             bus info: pci@0000:00:04.7</t>
  </si>
  <si>
    <t xml:space="preserve">             capabilities: ehci bus_master</t>
  </si>
  <si>
    <t xml:space="preserve">             configuration: driver=ehci-pci latency=0</t>
  </si>
  <si>
    <t xml:space="preserve">             resources: irq:11 memory:fc0b2000-fc0b2fff</t>
  </si>
  <si>
    <t xml:space="preserve">        *-scsi:0</t>
  </si>
  <si>
    <t xml:space="preserve">             description: SCSI storage controller</t>
  </si>
  <si>
    <t xml:space="preserve">             product: Virtio block device</t>
  </si>
  <si>
    <t xml:space="preserve">             physical id: 5</t>
  </si>
  <si>
    <t xml:space="preserve">             bus info: pci@0000:00:05.0</t>
  </si>
  <si>
    <t xml:space="preserve">             width: 64 bits</t>
  </si>
  <si>
    <t xml:space="preserve">             capabilities: scsi bus_master cap_list</t>
  </si>
  <si>
    <t xml:space="preserve">             configuration: driver=virtio-pci latency=0</t>
  </si>
  <si>
    <t xml:space="preserve">             resources: irq:10 ioport:c000(size=128) memory:fc0b3000-fc0b3fff memory:febf8000-febfbfff</t>
  </si>
  <si>
    <t xml:space="preserve">           *-virtio0</t>
  </si>
  <si>
    <t xml:space="preserve">                description: Virtual I/O device</t>
  </si>
  <si>
    <t xml:space="preserve">                bus info: virtio@0</t>
  </si>
  <si>
    <t xml:space="preserve">                logical name: /dev/vda</t>
  </si>
  <si>
    <t xml:space="preserve">                configuration: driver=virtio_blk</t>
  </si>
  <si>
    <t xml:space="preserve">        *-scsi:1</t>
  </si>
  <si>
    <t xml:space="preserve">             physical id: 6</t>
  </si>
  <si>
    <t xml:space="preserve">             bus info: pci@0000:00:06.0</t>
  </si>
  <si>
    <t xml:space="preserve">             resources: irq:10 ioport:c080(size=128) memory:fc0b4000-fc0b4fff memory:febfc000-febfffff</t>
  </si>
  <si>
    <t xml:space="preserve">           *-virtio1</t>
  </si>
  <si>
    <t xml:space="preserve">                bus info: virtio@1</t>
  </si>
  <si>
    <t xml:space="preserve">                logical name: /dev/vdb</t>
  </si>
  <si>
    <t xml:space="preserve">  *-input:0</t>
  </si>
  <si>
    <t xml:space="preserve">       product: Power Button</t>
  </si>
  <si>
    <t xml:space="preserve">       physical id: 1</t>
  </si>
  <si>
    <t xml:space="preserve">       logical name: input0</t>
  </si>
  <si>
    <t xml:space="preserve">       logical name: /dev/input/event0</t>
  </si>
  <si>
    <t xml:space="preserve">       capabilities: platform</t>
  </si>
  <si>
    <t xml:space="preserve">  *-input:1</t>
  </si>
  <si>
    <t xml:space="preserve">       product: AT Translated Set 2 keyboard</t>
  </si>
  <si>
    <t xml:space="preserve">       physical id: 2</t>
  </si>
  <si>
    <t xml:space="preserve">       logical name: input1</t>
  </si>
  <si>
    <t xml:space="preserve">       logical name: /dev/input/event1</t>
  </si>
  <si>
    <t xml:space="preserve">       logical name: input1::capslock</t>
  </si>
  <si>
    <t xml:space="preserve">       logical name: input1::numlock</t>
  </si>
  <si>
    <t xml:space="preserve">       logical name: input1::scrolllock</t>
  </si>
  <si>
    <t xml:space="preserve">       capabilities: i8042</t>
  </si>
  <si>
    <t xml:space="preserve">  *-input:2</t>
  </si>
  <si>
    <t xml:space="preserve">       product: VirtualPS/2 VMware VMMouse</t>
  </si>
  <si>
    <t xml:space="preserve">       physical id: 3</t>
  </si>
  <si>
    <t xml:space="preserve">       logical name: input3</t>
  </si>
  <si>
    <t xml:space="preserve">       logical name: /dev/input/event3</t>
  </si>
  <si>
    <t xml:space="preserve">       logical name: /dev/input/mouse1</t>
  </si>
  <si>
    <t xml:space="preserve">  *-input:3</t>
  </si>
  <si>
    <t xml:space="preserve">       physical id: 4</t>
  </si>
  <si>
    <t xml:space="preserve">       logical name: input4</t>
  </si>
  <si>
    <t xml:space="preserve">       logical name: /dev/input/event2</t>
  </si>
  <si>
    <t xml:space="preserve">       logical name: /dev/input/mouse0</t>
  </si>
  <si>
    <t xml:space="preserve">  *-input:4</t>
  </si>
  <si>
    <t xml:space="preserve">       product: QEMU QEMU USB Tablet</t>
  </si>
  <si>
    <t xml:space="preserve">       physical id: 5</t>
  </si>
  <si>
    <t xml:space="preserve">       logical name: input5</t>
  </si>
  <si>
    <t xml:space="preserve">       logical name: /dev/input/event4</t>
  </si>
  <si>
    <t xml:space="preserve">       logical name: /dev/input/mouse2</t>
  </si>
  <si>
    <t xml:space="preserve">       capabilities: usb</t>
  </si>
  <si>
    <t>/proc/cpuinfo</t>
  </si>
  <si>
    <t>processor	: 0</t>
  </si>
  <si>
    <t>vendor_id	: GenuineIntel</t>
  </si>
  <si>
    <t>cpu family	: 6</t>
  </si>
  <si>
    <t>model		: 60</t>
  </si>
  <si>
    <t>model name	: Intel Core Processor (Haswell, no TSX, IBRS)</t>
  </si>
  <si>
    <t>stepping	: 1</t>
  </si>
  <si>
    <t>microcode	: 0x1</t>
  </si>
  <si>
    <t>cpu MHz		: 2299.984</t>
  </si>
  <si>
    <t>cache size	: 16384 KB</t>
  </si>
  <si>
    <t>physical id	: 0</t>
  </si>
  <si>
    <t>siblings	: 8</t>
  </si>
  <si>
    <t>core id		: 0</t>
  </si>
  <si>
    <t>cpu cores	: 8</t>
  </si>
  <si>
    <t>apicid		: 0</t>
  </si>
  <si>
    <t>initial apicid	: 0</t>
  </si>
  <si>
    <t>fpu		: yes</t>
  </si>
  <si>
    <t>fpu_exception	: yes</t>
  </si>
  <si>
    <t>cpuid level	: 13</t>
  </si>
  <si>
    <t>wp		: yes</t>
  </si>
  <si>
    <t>flags		: fpu vme de pse tsc msr pae mce cx8 apic sep mtrr pge mca cmov pat pse36 clflush mmx fxsr sse sse2 ss ht syscall nx pdpe1gb rdtscp lm constant_tsc rep_good nopl xtopology cpuid tsc_known_freq pni pclmulqdq vmx ssse3 fma cx16 pcid sse4_1 sse4_2 x2apic movbe popcnt tsc_deadline_timer aes xsave avx f16c rdrand hypervisor lahf_lm abm cpuid_fault invpcid_single pti ssbd ibrs ibpb stibp tpr_shadow vnmi flexpriority ept vpid ept_ad fsgsbase tsc_adjust bmi1 avx2 smep bmi2 erms invpcid xsaveopt arat umip md_clear arch_capabilities</t>
  </si>
  <si>
    <t>vmx flags	: vnmi preemption_timer posted_intr invvpid ept_x_only ept_ad ept_1gb flexpriority apicv tsc_offset vtpr mtf vapic ept vpid unrestricted_guest vapic_reg vid shadow_vmcs</t>
  </si>
  <si>
    <t>bugs		: cpu_meltdown spectre_v1 spectre_v2 spec_store_bypass l1tf mds swapgs srbds</t>
  </si>
  <si>
    <t>bogomips	: 4599.96</t>
  </si>
  <si>
    <t>clflush size	: 64</t>
  </si>
  <si>
    <t>cache_alignment	: 64</t>
  </si>
  <si>
    <t>address sizes	: 40 bits physical, 48 bits virtual</t>
  </si>
  <si>
    <t>power management:</t>
  </si>
  <si>
    <t>processor	: 1</t>
  </si>
  <si>
    <t>core id		: 1</t>
  </si>
  <si>
    <t>apicid		: 1</t>
  </si>
  <si>
    <t>initial apicid	: 1</t>
  </si>
  <si>
    <t>processor	: 2</t>
  </si>
  <si>
    <t>core id		: 2</t>
  </si>
  <si>
    <t>apicid		: 2</t>
  </si>
  <si>
    <t>initial apicid	: 2</t>
  </si>
  <si>
    <t>processor	: 3</t>
  </si>
  <si>
    <t>core id		: 3</t>
  </si>
  <si>
    <t>apicid		: 3</t>
  </si>
  <si>
    <t>initial apicid	: 3</t>
  </si>
  <si>
    <t>processor	: 4</t>
  </si>
  <si>
    <t>core id		: 4</t>
  </si>
  <si>
    <t>apicid		: 4</t>
  </si>
  <si>
    <t>initial apicid	: 4</t>
  </si>
  <si>
    <t>processor	: 5</t>
  </si>
  <si>
    <t>core id		: 5</t>
  </si>
  <si>
    <t>apicid		: 5</t>
  </si>
  <si>
    <t>initial apicid	: 5</t>
  </si>
  <si>
    <t>processor	: 6</t>
  </si>
  <si>
    <t>core id		: 6</t>
  </si>
  <si>
    <t>apicid		: 6</t>
  </si>
  <si>
    <t>initial apicid	: 6</t>
  </si>
  <si>
    <t>processor	: 7</t>
  </si>
  <si>
    <t>core id		: 7</t>
  </si>
  <si>
    <t>apicid		: 7</t>
  </si>
  <si>
    <t>initial apicid	: 7</t>
  </si>
  <si>
    <t>/proc/meminfo</t>
  </si>
  <si>
    <t>MemTotal:        8139300 kB</t>
  </si>
  <si>
    <t>MemFree:         6688804 kB</t>
  </si>
  <si>
    <t>MemAvailable:    7011448 kB</t>
  </si>
  <si>
    <t>Buffers:           52456 kB</t>
  </si>
  <si>
    <t>Cached:           490420 kB</t>
  </si>
  <si>
    <t>SwapCached:            0 kB</t>
  </si>
  <si>
    <t>Active:           327352 kB</t>
  </si>
  <si>
    <t>Inactive:         817184 kB</t>
  </si>
  <si>
    <t>Active(anon):       2872 kB</t>
  </si>
  <si>
    <t>Inactive(anon):   629268 kB</t>
  </si>
  <si>
    <t>Active(file):     324480 kB</t>
  </si>
  <si>
    <t>Inactive(file):   187916 kB</t>
  </si>
  <si>
    <t>Unevictable:       39076 kB</t>
  </si>
  <si>
    <t>Mlocked:           39076 kB</t>
  </si>
  <si>
    <t>SwapTotal:             0 kB</t>
  </si>
  <si>
    <t>SwapFree:              0 kB</t>
  </si>
  <si>
    <t>Dirty:               152 kB</t>
  </si>
  <si>
    <t>Writeback:             0 kB</t>
  </si>
  <si>
    <t>AnonPages:        640784 kB</t>
  </si>
  <si>
    <t>Mapped:           167192 kB</t>
  </si>
  <si>
    <t>Shmem:             21916 kB</t>
  </si>
  <si>
    <t>KReclaimable:      61968 kB</t>
  </si>
  <si>
    <t>Slab:             142648 kB</t>
  </si>
  <si>
    <t>SReclaimable:      61968 kB</t>
  </si>
  <si>
    <t>SUnreclaim:        80680 kB</t>
  </si>
  <si>
    <t>KernelStack:        6960 kB</t>
  </si>
  <si>
    <t>PageTables:         9792 kB</t>
  </si>
  <si>
    <t>NFS_Unstable:          0 kB</t>
  </si>
  <si>
    <t>Bounce:                0 kB</t>
  </si>
  <si>
    <t>WritebackTmp:          0 kB</t>
  </si>
  <si>
    <t>CommitLimit:     4069648 kB</t>
  </si>
  <si>
    <t>Committed_AS:    3316392 kB</t>
  </si>
  <si>
    <t>VmallocTotal:   34359738367 kB</t>
  </si>
  <si>
    <t>VmallocUsed:       26568 kB</t>
  </si>
  <si>
    <t>VmallocChunk:          0 kB</t>
  </si>
  <si>
    <t>Percpu:             6688 kB</t>
  </si>
  <si>
    <t>HardwareCorrupted:     0 kB</t>
  </si>
  <si>
    <t>AnonHugePages:         0 kB</t>
  </si>
  <si>
    <t>ShmemHugePages:        0 kB</t>
  </si>
  <si>
    <t>ShmemPmdMapped:        0 kB</t>
  </si>
  <si>
    <t>FileHugePages:         0 kB</t>
  </si>
  <si>
    <t>FilePmdMapped:         0 kB</t>
  </si>
  <si>
    <t>HugePages_Total:       0</t>
  </si>
  <si>
    <t>HugePages_Free:        0</t>
  </si>
  <si>
    <t>HugePages_Rsvd:        0</t>
  </si>
  <si>
    <t>HugePages_Surp:        0</t>
  </si>
  <si>
    <t>Hugepagesize:       2048 kB</t>
  </si>
  <si>
    <t>Hugetlb:               0 kB</t>
  </si>
  <si>
    <t>DirectMap4k:      249684 kB</t>
  </si>
  <si>
    <t>DirectMap2M:     6041600 kB</t>
  </si>
  <si>
    <t>DirectMap1G:     4194304 kB</t>
  </si>
  <si>
    <t>/proc/stat</t>
  </si>
  <si>
    <t>cpu  537540 1454 131094 466447430 10287 0 5492 1103 0 0</t>
  </si>
  <si>
    <t>cpu0 65737 175 16509 58284038 1937 0 2793 156 0 0</t>
  </si>
  <si>
    <t>cpu1 67771 221 16727 58308572 1350 0 493 147 0 0</t>
  </si>
  <si>
    <t>cpu2 64552 264 13000 58290167 1450 0 248 113 0 0</t>
  </si>
  <si>
    <t>cpu3 65785 175 16120 58323394 1606 0 158 116 0 0</t>
  </si>
  <si>
    <t>cpu4 64148 215 14012 58295542 1721 0 1390 148 0 0</t>
  </si>
  <si>
    <t>cpu5 68588 10 16821 58321222 697 0 152 104 0 0</t>
  </si>
  <si>
    <t>cpu6 69363 108 17237 58319051 585 0 103 148 0 0</t>
  </si>
  <si>
    <t>cpu7 71591 282 20664 58305440 937 0 151 169 0 0</t>
  </si>
  <si>
    <t>intr 77049985 0 9 0 0 1032 0 3 0 0 0 89526 1502016 15 0 0 0 0 0 0 0 0 0 0 0 0 110162 0 91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</t>
  </si>
  <si>
    <t>ctxt 90251881</t>
  </si>
  <si>
    <t>btime 1676586561</t>
  </si>
  <si>
    <t>processes 36405</t>
  </si>
  <si>
    <t>procs_running 1</t>
  </si>
  <si>
    <t>procs_blocked 0</t>
  </si>
  <si>
    <t>softirq 87848618 6 18613654 109589 1792925 106587 0 8931 23550984 5 43665937</t>
  </si>
  <si>
    <t>/proc/version</t>
  </si>
  <si>
    <t>Linux version 5.15.0-50-generic (buildd@lcy02-amd64-086) (gcc (Ubuntu 11.2.0-19ubuntu1) 11.2.0, GNU ld (GNU Binutils for Ubuntu) 2.38) #56-Ubuntu SMP Tue Sep 20 13:23:26 UTC 2022</t>
  </si>
  <si>
    <t>/proc/net/dev</t>
  </si>
  <si>
    <t>Inter-|   Receive                                                |  Transmit</t>
  </si>
  <si>
    <t xml:space="preserve"> face |bytes    packets errs drop fifo frame compressed multicast|bytes    packets errs drop fifo colls carrier compressed</t>
  </si>
  <si>
    <t xml:space="preserve">    lo: 1073568574  428233    0    0    0     0          0         0 1073568574  428233    0    0    0     0       0          0</t>
  </si>
  <si>
    <t xml:space="preserve">  eth0: 120406720 1901191    0 56935    0     0          0         0 180716419  211141    0    0    0     0       0          0</t>
  </si>
  <si>
    <t>virbr0:       0       0    0    0    0     0          0         0        0       0    0    0    0     0       0          0</t>
  </si>
  <si>
    <t>docker0:       0       0    0    0    0     0          0         0        0       0    0    0    0     0       0          0</t>
  </si>
  <si>
    <t>/proc/diskinfo</t>
  </si>
  <si>
    <t>/proc/diskstats</t>
  </si>
  <si>
    <t xml:space="preserve">   7       0 loop0 14 0 34 0 0 0 0 0 0 16 0 0 0 0 0 0 0</t>
  </si>
  <si>
    <t xml:space="preserve">   7       1 loop1 45 0 696 7 0 0 0 0 0 24 7 0 0 0 0 0 0</t>
  </si>
  <si>
    <t xml:space="preserve">   7       2 loop2 242 0 4310 47 0 0 0 0 0 296 47 0 0 0 0 0 0</t>
  </si>
  <si>
    <t xml:space="preserve">   7       3 loop3 55 0 2144 14 0 0 0 0 0 24 14 0 0 0 0 0 0</t>
  </si>
  <si>
    <t xml:space="preserve">   7       4 loop4 61 0 2174 14 0 0 0 0 0 32 14 0 0 0 0 0 0</t>
  </si>
  <si>
    <t xml:space="preserve">   7       5 loop5 60 0 2172 9 0 0 0 0 0 32 9 0 0 0 0 0 0</t>
  </si>
  <si>
    <t xml:space="preserve">   7       6 loop6 59 0 2186 21 0 0 0 0 0 28 21 0 0 0 0 0 0</t>
  </si>
  <si>
    <t xml:space="preserve">   7       7 loop7 52 0 2168 12 0 0 0 0 0 24 12 0 0 0 0 0 0</t>
  </si>
  <si>
    <t xml:space="preserve"> 252       0 vda 39229 21243 3064081 7387 93714 38438 1691828 350302 0 380004 657280 11963 0 77844426 504 16635 299086</t>
  </si>
  <si>
    <t xml:space="preserve"> 252       1 vda1 38619 18931 3034725 7316 93712 38438 1691826 350301 0 379928 358122 11962 0 77641368 504 0 0</t>
  </si>
  <si>
    <t xml:space="preserve"> 252      14 vda14 199 0 1840 16 0 0 0 0 0 76 16 0 0 0 0 0 0</t>
  </si>
  <si>
    <t xml:space="preserve"> 252      15 vda15 262 2312 22084 36 2 0 2 0 0 104 37 1 0 203058 0 0 0</t>
  </si>
  <si>
    <t xml:space="preserve"> 252      16 vdb 93 0 684 11 0 0 0 0 0 60 11 0 0 0 0 0 0</t>
  </si>
  <si>
    <t xml:space="preserve">   7       8 loop8 66 0 2230 11 0 0 0 0 0 44 11 0 0 0 0 0 0</t>
  </si>
  <si>
    <t xml:space="preserve">   7       9 loop9 43 0 696 5 0 0 0 0 0 28 5 0 0 0 0 0 0</t>
  </si>
  <si>
    <t xml:space="preserve">   7      10 loop10 1617 0 116246 321 0 0 0 0 0 6004 321 0 0 0 0 0 0</t>
  </si>
  <si>
    <t xml:space="preserve">   7      11 loop11 11 0 28 0 0 0 0 0 0 4 0 0 0 0 0 0 0</t>
  </si>
  <si>
    <t>/sbin/multipath</t>
  </si>
  <si>
    <t>/dev/mapper</t>
  </si>
  <si>
    <t>total 0</t>
  </si>
  <si>
    <t>crw------- 1 root root 10, 236 Feb 16 22:29 control</t>
  </si>
  <si>
    <t>/dev/mpath</t>
  </si>
  <si>
    <t>/dev/dm-*</t>
  </si>
  <si>
    <t>/dev/md*</t>
  </si>
  <si>
    <t>/dev/sd*</t>
  </si>
  <si>
    <t>/proc/partitions</t>
  </si>
  <si>
    <t>major minor  #blocks  name</t>
  </si>
  <si>
    <t xml:space="preserve">   7        0          4 loop0</t>
  </si>
  <si>
    <t xml:space="preserve">   7        1      64792 loop1</t>
  </si>
  <si>
    <t xml:space="preserve">   7        2      64800 loop2</t>
  </si>
  <si>
    <t xml:space="preserve">   7        3     244856 loop3</t>
  </si>
  <si>
    <t xml:space="preserve">   7        4     246388 loop4</t>
  </si>
  <si>
    <t xml:space="preserve">   7        5     354640 loop5</t>
  </si>
  <si>
    <t xml:space="preserve">   7        6      93888 loop6</t>
  </si>
  <si>
    <t xml:space="preserve">   7        7     105456 loop7</t>
  </si>
  <si>
    <t xml:space="preserve"> 252        0   52428800 vda</t>
  </si>
  <si>
    <t xml:space="preserve"> 252        1   52315119 vda1</t>
  </si>
  <si>
    <t xml:space="preserve"> 252       14       4096 vda14</t>
  </si>
  <si>
    <t xml:space="preserve"> 252       15     108544 vda15</t>
  </si>
  <si>
    <t xml:space="preserve"> 252       16        374 vdb</t>
  </si>
  <si>
    <t xml:space="preserve">   7        8     114636 loop8</t>
  </si>
  <si>
    <t xml:space="preserve">   7        9      51024 loop9</t>
  </si>
  <si>
    <t xml:space="preserve">   7       10      51036 loop10</t>
  </si>
  <si>
    <t>/proc/1/stat</t>
  </si>
  <si>
    <t>1 (systemd) S 0 1 1 0 -1 4194560 81461 69615784 286 25555 1019 992 377410 59009 20 0 1 0 14 172199936 3137 18446744073709551615 1 1 0 0 0 0 671173123 4096 1260 0 0 0 17 4 0 0 0 0 0 0 0 0 0 0 0 0 0</t>
  </si>
  <si>
    <t>/proc/net/rpc/nfs</t>
  </si>
  <si>
    <t>/proc/net/rpc/nfsd</t>
  </si>
  <si>
    <t>/proc/modules</t>
  </si>
  <si>
    <t>tls 114688 0 - Live 0x0000000000000000</t>
  </si>
  <si>
    <t>binfmt_misc 24576 1 - Live 0x0000000000000000</t>
  </si>
  <si>
    <t>nf_conntrack_netlink 49152 0 - Live 0x0000000000000000</t>
  </si>
  <si>
    <t>xfrm_user 40960 1 - Live 0x0000000000000000</t>
  </si>
  <si>
    <t>xfrm_algo 16384 1 xfrm_user, Live 0x0000000000000000</t>
  </si>
  <si>
    <t>xt_addrtype 16384 2 - Live 0x0000000000000000</t>
  </si>
  <si>
    <t>br_netfilter 32768 0 - Live 0x0000000000000000</t>
  </si>
  <si>
    <t>xt_CHECKSUM 16384 1 - Live 0x0000000000000000</t>
  </si>
  <si>
    <t>xt_MASQUERADE 20480 4 - Live 0x0000000000000000</t>
  </si>
  <si>
    <t>xt_conntrack 16384 2 - Live 0x0000000000000000</t>
  </si>
  <si>
    <t>ipt_REJECT 16384 2 - Live 0x0000000000000000</t>
  </si>
  <si>
    <t>nf_reject_ipv4 16384 1 ipt_REJECT, Live 0x0000000000000000</t>
  </si>
  <si>
    <t>xt_tcpudp 20480 9 - Live 0x0000000000000000</t>
  </si>
  <si>
    <t>nft_compat 20480 20 - Live 0x0000000000000000</t>
  </si>
  <si>
    <t>nft_chain_nat 16384 4 - Live 0x0000000000000000</t>
  </si>
  <si>
    <t>nft_counter 16384 48 - Live 0x0000000000000000</t>
  </si>
  <si>
    <t>nf_tables 245760 146 nft_compat,nft_chain_nat,nft_counter, Live 0x0000000000000000</t>
  </si>
  <si>
    <t>nfnetlink 20480 4 nf_conntrack_netlink,nft_compat,nf_tables, Live 0x0000000000000000</t>
  </si>
  <si>
    <t>bridge 307200 1 br_netfilter, Live 0x0000000000000000</t>
  </si>
  <si>
    <t>stp 16384 1 bridge, Live 0x0000000000000000</t>
  </si>
  <si>
    <t>llc 16384 2 bridge,stp, Live 0x0000000000000000</t>
  </si>
  <si>
    <t>overlay 151552 0 - Live 0x0000000000000000</t>
  </si>
  <si>
    <t>openvswitch 176128 0 - Live 0x0000000000000000</t>
  </si>
  <si>
    <t>nsh 16384 1 openvswitch, Live 0x0000000000000000</t>
  </si>
  <si>
    <t>nf_conncount 24576 1 openvswitch, Live 0x0000000000000000</t>
  </si>
  <si>
    <t>nf_nat 49152 3 xt_MASQUERADE,nft_chain_nat,openvswitch, Live 0x0000000000000000</t>
  </si>
  <si>
    <t>nf_conntrack 172032 6 nf_conntrack_netlink,xt_MASQUERADE,xt_conntrack,openvswitch,nf_conncount,nf_nat, Live 0x0000000000000000</t>
  </si>
  <si>
    <t>nf_defrag_ipv6 24576 2 openvswitch,nf_conntrack, Live 0x0000000000000000</t>
  </si>
  <si>
    <t>nf_defrag_ipv4 16384 1 nf_conntrack, Live 0x0000000000000000</t>
  </si>
  <si>
    <t>isofs 53248 0 - Live 0x0000000000000000</t>
  </si>
  <si>
    <t>intel_rapl_msr 20480 0 - Live 0x0000000000000000</t>
  </si>
  <si>
    <t>intel_rapl_common 40960 1 intel_rapl_msr, Live 0x0000000000000000</t>
  </si>
  <si>
    <t>kvm_intel 372736 0 - Live 0x0000000000000000</t>
  </si>
  <si>
    <t>kvm 1028096 1 kvm_intel, Live 0x0000000000000000</t>
  </si>
  <si>
    <t>nls_iso8859_1 16384 1 - Live 0x0000000000000000</t>
  </si>
  <si>
    <t>input_leds 16384 0 - Live 0x0000000000000000</t>
  </si>
  <si>
    <t>joydev 32768 0 - Live 0x0000000000000000</t>
  </si>
  <si>
    <t>serio_raw 20480 0 - Live 0x0000000000000000</t>
  </si>
  <si>
    <t>qemu_fw_cfg 20480 0 - Live 0x0000000000000000</t>
  </si>
  <si>
    <t>mac_hid 16384 0 - Live 0x0000000000000000</t>
  </si>
  <si>
    <t>sch_fq_codel 20480 2 - Live 0x0000000000000000</t>
  </si>
  <si>
    <t>dm_multipath 40960 0 - Live 0x0000000000000000</t>
  </si>
  <si>
    <t>scsi_dh_rdac 20480 0 - Live 0x0000000000000000</t>
  </si>
  <si>
    <t>scsi_dh_emc 16384 0 - Live 0x0000000000000000</t>
  </si>
  <si>
    <t>scsi_dh_alua 20480 0 - Live 0x0000000000000000</t>
  </si>
  <si>
    <t>ipmi_devintf 20480 0 - Live 0x0000000000000000</t>
  </si>
  <si>
    <t>ipmi_msghandler 122880 1 ipmi_devintf, Live 0x0000000000000000</t>
  </si>
  <si>
    <t>ramoops 32768 0 - Live 0x0000000000000000</t>
  </si>
  <si>
    <t>msr 16384 0 - Live 0x0000000000000000</t>
  </si>
  <si>
    <t>reed_solomon 28672 1 ramoops, Live 0x0000000000000000</t>
  </si>
  <si>
    <t>pstore_blk 16384 0 - Live 0x0000000000000000</t>
  </si>
  <si>
    <t>pstore_zone 32768 1 pstore_blk, Live 0x0000000000000000</t>
  </si>
  <si>
    <t>efi_pstore 16384 0 - Live 0x0000000000000000</t>
  </si>
  <si>
    <t>ip_tables 32768 0 - Live 0x0000000000000000</t>
  </si>
  <si>
    <t>x_tables 53248 8 xt_addrtype,xt_CHECKSUM,xt_MASQUERADE,xt_conntrack,ipt_REJECT,xt_tcpudp,nft_compat,ip_tables, Live 0x0000000000000000</t>
  </si>
  <si>
    <t>autofs4 49152 2 - Live 0x0000000000000000</t>
  </si>
  <si>
    <t>btrfs 1552384 0 - Live 0x0000000000000000</t>
  </si>
  <si>
    <t>blake2b_generic 20480 0 - Live 0x0000000000000000</t>
  </si>
  <si>
    <t>zstd_compress 229376 1 btrfs, Live 0x0000000000000000</t>
  </si>
  <si>
    <t>raid10 69632 0 - Live 0x0000000000000000</t>
  </si>
  <si>
    <t>raid456 163840 0 - Live 0x0000000000000000</t>
  </si>
  <si>
    <t>async_raid6_recov 24576 1 raid456, Live 0x0000000000000000</t>
  </si>
  <si>
    <t>async_memcpy 20480 2 raid456,async_raid6_recov, Live 0x0000000000000000</t>
  </si>
  <si>
    <t>async_pq 24576 2 raid456,async_raid6_recov, Live 0x0000000000000000</t>
  </si>
  <si>
    <t>async_xor 20480 3 raid456,async_raid6_recov,async_pq, Live 0x0000000000000000</t>
  </si>
  <si>
    <t>async_tx 20480 5 raid456,async_raid6_recov,async_memcpy,async_pq,async_xor, Live 0x0000000000000000</t>
  </si>
  <si>
    <t>xor 24576 2 btrfs,async_xor, Live 0x0000000000000000</t>
  </si>
  <si>
    <t>raid6_pq 122880 4 btrfs,raid456,async_raid6_recov,async_pq, Live 0x0000000000000000</t>
  </si>
  <si>
    <t>libcrc32c 16384 6 nf_tables,openvswitch,nf_nat,nf_conntrack,btrfs,raid456, Live 0x0000000000000000</t>
  </si>
  <si>
    <t>raid1 49152 0 - Live 0x0000000000000000</t>
  </si>
  <si>
    <t>raid0 24576 0 - Live 0x0000000000000000</t>
  </si>
  <si>
    <t>multipath 20480 0 - Live 0x0000000000000000</t>
  </si>
  <si>
    <t>linear 20480 0 - Live 0x0000000000000000</t>
  </si>
  <si>
    <t>hid_generic 16384 0 - Live 0x0000000000000000</t>
  </si>
  <si>
    <t>qxl 69632 0 - Live 0x0000000000000000</t>
  </si>
  <si>
    <t>drm_ttm_helper 16384 1 qxl, Live 0x0000000000000000</t>
  </si>
  <si>
    <t>ttm 86016 2 qxl,drm_ttm_helper, Live 0x0000000000000000</t>
  </si>
  <si>
    <t>drm_kms_helper 311296 3 qxl, Live 0x0000000000000000</t>
  </si>
  <si>
    <t>crct10dif_pclmul 16384 1 - Live 0x0000000000000000</t>
  </si>
  <si>
    <t>syscopyarea 16384 1 drm_kms_helper, Live 0x0000000000000000</t>
  </si>
  <si>
    <t>crc32_pclmul 16384 0 - Live 0x0000000000000000</t>
  </si>
  <si>
    <t>sysfillrect 20480 1 drm_kms_helper, Live 0x0000000000000000</t>
  </si>
  <si>
    <t>ghash_clmulni_intel 16384 0 - Live 0x0000000000000000</t>
  </si>
  <si>
    <t>sysimgblt 16384 1 drm_kms_helper, Live 0x0000000000000000</t>
  </si>
  <si>
    <t>fb_sys_fops 16384 1 drm_kms_helper, Live 0x0000000000000000</t>
  </si>
  <si>
    <t>aesni_intel 376832 0 - Live 0x0000000000000000</t>
  </si>
  <si>
    <t>cec 61440 1 drm_kms_helper, Live 0x0000000000000000</t>
  </si>
  <si>
    <t>crypto_simd 16384 1 aesni_intel, Live 0x0000000000000000</t>
  </si>
  <si>
    <t>rc_core 65536 1 cec, Live 0x0000000000000000</t>
  </si>
  <si>
    <t>usbhid 65536 0 - Live 0x0000000000000000</t>
  </si>
  <si>
    <t>cryptd 24576 2 ghash_clmulni_intel,crypto_simd, Live 0x0000000000000000</t>
  </si>
  <si>
    <t>hid 151552 2 hid_generic,usbhid, Live 0x0000000000000000</t>
  </si>
  <si>
    <t>drm 622592 5 qxl,drm_ttm_helper,ttm,drm_kms_helper, Live 0x0000000000000000</t>
  </si>
  <si>
    <t>psmouse 176128 0 - Live 0x0000000000000000</t>
  </si>
  <si>
    <t>virtio_blk 20480 2 - Live 0x0000000000000000</t>
  </si>
  <si>
    <t>e1000 159744 0 - Live 0x0000000000000000</t>
  </si>
  <si>
    <t>i2c_piix4 32768 0 - Live 0x0000000000000000</t>
  </si>
  <si>
    <t>pata_acpi 16384 0 - Live 0x0000000000000000</t>
  </si>
  <si>
    <t>floppy 118784 0 - Live 0x0000000000000000</t>
  </si>
  <si>
    <t>ifconfig</t>
  </si>
  <si>
    <t>docker0: flags=4099&lt;UP,BROADCAST,MULTICAST&gt;  mtu 1500</t>
  </si>
  <si>
    <t xml:space="preserve">        inet 172.17.0.1  netmask 255.255.0.0  broadcast 172.17.255.255</t>
  </si>
  <si>
    <t xml:space="preserve">        ether 02:42:19:31:72:73  txqueuelen 0  (Ethernet)</t>
  </si>
  <si>
    <t xml:space="preserve">        RX packets 0  bytes 0 (0.0 B)</t>
  </si>
  <si>
    <t xml:space="preserve">        RX errors 0  dropped 0  overruns 0  frame 0</t>
  </si>
  <si>
    <t xml:space="preserve">        TX packets 0  bytes 0 (0.0 B)</t>
  </si>
  <si>
    <t xml:space="preserve">        TX errors 0  dropped 0 overruns 0  carrier 0  collisions 0</t>
  </si>
  <si>
    <t>eth0: flags=4163&lt;UP,BROADCAST,RUNNING,MULTICAST&gt;  mtu 1500</t>
  </si>
  <si>
    <t xml:space="preserve">        inet 100.64.252.14  netmask 255.255.0.0  broadcast 100.64.255.255</t>
  </si>
  <si>
    <t xml:space="preserve">        inet6 fe80::5054:7fff:fefd:d969  prefixlen 64  scopeid 0x20&lt;link&gt;</t>
  </si>
  <si>
    <t xml:space="preserve">        ether 52:54:7f:fd:d9:69  txqueuelen 1000  (Ethernet)</t>
  </si>
  <si>
    <t xml:space="preserve">        RX packets 1901191  bytes 120406720 (120.4 MB)</t>
  </si>
  <si>
    <t xml:space="preserve">        RX errors 0  dropped 56935  overruns 0  frame 0</t>
  </si>
  <si>
    <t xml:space="preserve">        TX packets 211141  bytes 180716419 (180.7 MB)</t>
  </si>
  <si>
    <t>lo: flags=73&lt;UP,LOOPBACK,RUNNING&gt;  mtu 65536</t>
  </si>
  <si>
    <t xml:space="preserve">        inet 127.0.0.1  netmask 255.0.0.0</t>
  </si>
  <si>
    <t xml:space="preserve">        inet6 ::1  prefixlen 128  scopeid 0x10&lt;host&gt;</t>
  </si>
  <si>
    <t xml:space="preserve">        loop  txqueuelen 1000  (Local Loopback)</t>
  </si>
  <si>
    <t xml:space="preserve">        RX packets 428233  bytes 1073568574 (1.0 GB)</t>
  </si>
  <si>
    <t xml:space="preserve">        TX packets 428233  bytes 1073568574 (1.0 GB)</t>
  </si>
  <si>
    <t>virbr0: flags=4099&lt;UP,BROADCAST,MULTICAST&gt;  mtu 1500</t>
  </si>
  <si>
    <t xml:space="preserve">        inet 192.168.122.1  netmask 255.255.255.0  broadcast 192.168.122.255</t>
  </si>
  <si>
    <t xml:space="preserve">        ether 52:54:00:87:4d:00  txqueuelen 1000  (Ethernet)</t>
  </si>
  <si>
    <t>/bin/df-m</t>
  </si>
  <si>
    <t>Filesystem     1M-blocks  Used Available Use% Mounted on</t>
  </si>
  <si>
    <t>tmpfs                795     2       794   1% /run</t>
  </si>
  <si>
    <t>ddev/vda1          49434 11802     37617  24% /</t>
  </si>
  <si>
    <t>tmpfs               3975     0      3975   0% /dev/shm</t>
  </si>
  <si>
    <t>tmpfs                  5     0         5   0% /run/lock</t>
  </si>
  <si>
    <t>ddev/vda15           105     6       100   5% /boot/efi</t>
  </si>
  <si>
    <t>tmpfs                795     1       795   1% /run/user/1006</t>
  </si>
  <si>
    <t>/bin/mount</t>
  </si>
  <si>
    <t>sysfs on /sys type sysfs (rw,nosuid,nodev,noexec,relatime)</t>
  </si>
  <si>
    <t>proc on /proc type proc (rw,nosuid,nodev,noexec,relatime)</t>
  </si>
  <si>
    <t>udev on /dev type devtmpfs (rw,nosuid,relatime,size=4034664k,nr_inodes=1008666,mode=755,inode64)</t>
  </si>
  <si>
    <t>devpts on /dev/pts type devpts (rw,nosuid,noexec,relatime,gid=5,mode=620,ptmxmode=000)</t>
  </si>
  <si>
    <t>tmpfs on /run type tmpfs (rw,nosuid,nodev,noexec,relatime,size=813932k,mode=755,inode64)</t>
  </si>
  <si>
    <t>ddev/vda1 on / type ext4 (rw,relatime,discard,errors=remount-ro)</t>
  </si>
  <si>
    <t>securityfs on /sys/kernel/security type securityfs (rw,nosuid,nodev,noexec,relatime)</t>
  </si>
  <si>
    <t>tmpfs on /dev/shm type tmpfs (rw,nosuid,nodev,inode64)</t>
  </si>
  <si>
    <t>tmpfs on /run/lock type tmpfs (rw,nosuid,nodev,noexec,relatime,size=5120k,inode64)</t>
  </si>
  <si>
    <t>cgroup2 on /sys/fs/cgroup type cgroup2 (rw,nosuid,nodev,noexec,relatime,nsdelegate,memory_recursiveprot)</t>
  </si>
  <si>
    <t>pstore on /sys/fs/pstore type pstore (rw,nosuid,nodev,noexec,relatime)</t>
  </si>
  <si>
    <t>bpf on /sys/fs/bpf type bpf (rw,nosuid,nodev,noexec,relatime,mode=700)</t>
  </si>
  <si>
    <t>systemd-1 on /proc/sys/fs/binfmt_misc type autofs (rw,relatime,fd=30,pgrp=1,timeout=0,minproto=5,maxproto=5,direct,pipe_ino=16543)</t>
  </si>
  <si>
    <t>hugetlbfs on /dev/hugepages type hugetlbfs (rw,relatime,pagesize=2M)</t>
  </si>
  <si>
    <t>mqueue on /dev/mqueue type mqueue (rw,nosuid,nodev,noexec,relatime)</t>
  </si>
  <si>
    <t>debugfs on /sys/kernel/debug type debugfs (rw,nosuid,nodev,noexec,relatime)</t>
  </si>
  <si>
    <t>tracefs on /sys/kernel/tracing type tracefs (rw,nosuid,nodev,noexec,relatime)</t>
  </si>
  <si>
    <t>fusectl on /sys/fs/fuse/connections type fusectl (rw,nosuid,nodev,noexec,relatime)</t>
  </si>
  <si>
    <t>configfs on /sys/kernel/config type configfs (rw,nosuid,nodev,noexec,relatime)</t>
  </si>
  <si>
    <t>none on /run/credentials/systemd-sysusers.service type ramfs (ro,nosuid,nodev,noexec,relatime,mode=700)</t>
  </si>
  <si>
    <t>dvar/lib/snapd/snaps/bare_5.snap on /snap/bare/5 type squashfs (ro,nodev,relatime,errors=continue,x-gdu.hide)</t>
  </si>
  <si>
    <t>dvar/lib/snapd/snaps/core20_1778.snap on /snap/core20/1778 type squashfs (ro,nodev,relatime,errors=continue,x-gdu.hide)</t>
  </si>
  <si>
    <t>dvar/lib/snapd/snaps/firefox_2311.snap on /snap/firefox/2311 type squashfs (ro,nodev,relatime,errors=continue,x-gdu.hide)</t>
  </si>
  <si>
    <t>dvar/lib/snapd/snaps/core20_1822.snap on /snap/core20/1822 type squashfs (ro,nodev,relatime,errors=continue,x-gdu.hide)</t>
  </si>
  <si>
    <t>dvar/lib/snapd/snaps/firefox_2356.snap on /snap/firefox/2356 type squashfs (ro,nodev,relatime,errors=continue,x-gdu.hide)</t>
  </si>
  <si>
    <t>dvar/lib/snapd/snaps/gnome-3-38-2004_119.snap on /snap/gnome-3-38-2004/119 type squashfs (ro,nodev,relatime,errors=continue,x-gdu.hide)</t>
  </si>
  <si>
    <t>dvar/lib/snapd/snaps/gtk-common-themes_1535.snap on /snap/gtk-common-themes/1535 type squashfs (ro,nodev,relatime,errors=continue,x-gdu.hide)</t>
  </si>
  <si>
    <t>dvar/lib/snapd/snaps/lxd_24322.snap on /snap/lxd/24322 type squashfs (ro,nodev,relatime,errors=continue,x-gdu.hide)</t>
  </si>
  <si>
    <t>dvar/lib/snapd/snaps/lxd_23541.snap on /snap/lxd/23541 type squashfs (ro,nodev,relatime,errors=continue,x-gdu.hide)</t>
  </si>
  <si>
    <t>dvar/lib/snapd/snaps/snapd_17950.snap on /snap/snapd/17950 type squashfs (ro,nodev,relatime,errors=continue,x-gdu.hide)</t>
  </si>
  <si>
    <t>ddev/vda1 on /var/snap/firefox/common/host-hunspell type ext4 (ro,noexec,noatime,discard,errors=remount-ro)</t>
  </si>
  <si>
    <t>dvar/lib/snapd/snaps/snapd_18357.snap on /snap/snapd/18357 type squashfs (ro,nodev,relatime,errors=continue,x-gdu.hide)</t>
  </si>
  <si>
    <t>ddev/vda15 on /boot/efi type vfat (rw,relatime,fmask=0077,dmask=0077,codepage=437,iocharset=iso8859-1,shortname=mixed,errors=remount-ro)</t>
  </si>
  <si>
    <t>ddev/vda1 on /var/lib/containers/storage/overlay type ext4 (rw,relatime,discard,errors=remount-ro)</t>
  </si>
  <si>
    <t>binfmt_misc on /proc/sys/fs/binfmt_misc type binfmt_misc (rw,nosuid,nodev,noexec,relatime)</t>
  </si>
  <si>
    <t>tmpfs on /run/snapd/ns type tmpfs (rw,nosuid,nodev,noexec,relatime,size=813932k,mode=755,inode64)</t>
  </si>
  <si>
    <t>nsfs on /run/snapd/ns/lxd.mnt type nsfs (rw)</t>
  </si>
  <si>
    <t>tmpfs on /run/user/1006 type tmpfs (rw,nosuid,nodev,relatime,size=813928k,nr_inodes=203482,mode=700,uid=1006,gid=1006,inode64)</t>
  </si>
  <si>
    <t>/etc/fstab</t>
  </si>
  <si>
    <t>LABEL=cloudimg-rootfs	/	 ext4	discard,errors=remount-ro	0 1</t>
  </si>
  <si>
    <t>LABEL=UEFI	/boot/efi	vfat	umask=0077	0 1</t>
  </si>
  <si>
    <t>netstat -r</t>
  </si>
  <si>
    <t>Kernel IP routing table</t>
  </si>
  <si>
    <t>Destination     Gateway         Genmask         Flags   MSS Window  irtt Iface</t>
  </si>
  <si>
    <t>default         _gateway        0.0.0.0         UG        0 0          0 eth0</t>
  </si>
  <si>
    <t>100.64.0.0      0.0.0.0         255.255.0.0     U         0 0          0 eth0</t>
  </si>
  <si>
    <t>172.17.0.0      0.0.0.0         255.255.0.0     U         0 0          0 docker0</t>
  </si>
  <si>
    <t>192.168.122.0   0.0.0.0         255.255.255.0   U         0 0          0 virbr0</t>
  </si>
  <si>
    <t>uptime</t>
  </si>
  <si>
    <t xml:space="preserve"> 16:49:44 up 6 days, 18:20,  5 users,  load average: 0.00, 1.11, 3.83</t>
  </si>
  <si>
    <t>getconf PAGESIZE</t>
  </si>
  <si>
    <t>CPU001</t>
  </si>
  <si>
    <t>CPU 1 css-xcat4</t>
  </si>
  <si>
    <t>User%</t>
  </si>
  <si>
    <t>Sys%</t>
  </si>
  <si>
    <t>Wait%</t>
  </si>
  <si>
    <t>Idle%</t>
  </si>
  <si>
    <t>Steal%</t>
  </si>
  <si>
    <t>T0001</t>
  </si>
  <si>
    <t>T0002</t>
  </si>
  <si>
    <t>T0003</t>
  </si>
  <si>
    <t>T0004</t>
  </si>
  <si>
    <t>T0005</t>
  </si>
  <si>
    <t>T0006</t>
  </si>
  <si>
    <t>T0007</t>
  </si>
  <si>
    <t>T0008</t>
  </si>
  <si>
    <t>T0009</t>
  </si>
  <si>
    <t>T0010</t>
  </si>
  <si>
    <t>CPU002</t>
  </si>
  <si>
    <t>CPU 2 css-xcat4</t>
  </si>
  <si>
    <t>CPU003</t>
  </si>
  <si>
    <t>CPU 3 css-xcat4</t>
  </si>
  <si>
    <t>CPU004</t>
  </si>
  <si>
    <t>CPU 4 css-xcat4</t>
  </si>
  <si>
    <t>CPU005</t>
  </si>
  <si>
    <t>CPU 5 css-xcat4</t>
  </si>
  <si>
    <t>CPU006</t>
  </si>
  <si>
    <t>CPU 6 css-xcat4</t>
  </si>
  <si>
    <t>CPU007</t>
  </si>
  <si>
    <t>CPU 7 css-xcat4</t>
  </si>
  <si>
    <t>CPU008</t>
  </si>
  <si>
    <t>CPU 8 css-xcat4</t>
  </si>
  <si>
    <t>CPU Total css-xcat4</t>
  </si>
  <si>
    <t>Busy</t>
  </si>
  <si>
    <t>CPUs</t>
  </si>
  <si>
    <t>Disk Block Size css-xcat4</t>
  </si>
  <si>
    <t>loop0</t>
  </si>
  <si>
    <t>loop1</t>
  </si>
  <si>
    <t>loop2</t>
  </si>
  <si>
    <t>loop3</t>
  </si>
  <si>
    <t>loop4</t>
  </si>
  <si>
    <t>loop5</t>
  </si>
  <si>
    <t>loop6</t>
  </si>
  <si>
    <t>loop7</t>
  </si>
  <si>
    <t>vda</t>
  </si>
  <si>
    <t>vda1</t>
  </si>
  <si>
    <t>vda14</t>
  </si>
  <si>
    <t>vda15</t>
  </si>
  <si>
    <t>vdb</t>
  </si>
  <si>
    <t>loop8</t>
  </si>
  <si>
    <t>loop9</t>
  </si>
  <si>
    <t>loop10</t>
  </si>
  <si>
    <t>loop11</t>
  </si>
  <si>
    <t>Disk %Busy css-xcat4</t>
  </si>
  <si>
    <t>Disk Read KB/s css-xcat4</t>
  </si>
  <si>
    <t>Disk Write KB/s css-xcat4</t>
  </si>
  <si>
    <t>Disk transfers per second css-xcat4</t>
  </si>
  <si>
    <t>JFS Filespace %Used css-xcat4</t>
  </si>
  <si>
    <t>/dev</t>
  </si>
  <si>
    <t>/run</t>
  </si>
  <si>
    <t>/</t>
  </si>
  <si>
    <t>/snap/bare/5</t>
  </si>
  <si>
    <t>/snap/core20/1778</t>
  </si>
  <si>
    <t>/snap/firefox/2311</t>
  </si>
  <si>
    <t>/snap/core20/1822</t>
  </si>
  <si>
    <t>/snap/firefox/2356</t>
  </si>
  <si>
    <t>/snap/gnome-3-38-2004/119</t>
  </si>
  <si>
    <t>/snap/gtk-common-themes/1535</t>
  </si>
  <si>
    <t>/snap/lxd/24322</t>
  </si>
  <si>
    <t>/snap/lxd/23541</t>
  </si>
  <si>
    <t>/snap/snapd/17950</t>
  </si>
  <si>
    <t>/var/snap/firefox/common/host-hunspell</t>
  </si>
  <si>
    <t>Memory MB css-xcat4</t>
  </si>
  <si>
    <t>memtotal</t>
  </si>
  <si>
    <t>hightotal</t>
  </si>
  <si>
    <t>lowtotal</t>
  </si>
  <si>
    <t>swaptotal</t>
  </si>
  <si>
    <t>memfree</t>
  </si>
  <si>
    <t>highfree</t>
  </si>
  <si>
    <t>lowfree</t>
  </si>
  <si>
    <t>swapfree</t>
  </si>
  <si>
    <t>memshared</t>
  </si>
  <si>
    <t>cached</t>
  </si>
  <si>
    <t>active</t>
  </si>
  <si>
    <t>bigfree</t>
  </si>
  <si>
    <t>buffers</t>
  </si>
  <si>
    <t>swapcached</t>
  </si>
  <si>
    <t>inactive</t>
  </si>
  <si>
    <t>Network Packets css-xcat4</t>
  </si>
  <si>
    <t>lo-read/s</t>
  </si>
  <si>
    <t>eth0-read/s</t>
  </si>
  <si>
    <t>virbr0-read/s</t>
  </si>
  <si>
    <t>docker0-read/s</t>
  </si>
  <si>
    <t>lo-write/s</t>
  </si>
  <si>
    <t>eth0-write/s</t>
  </si>
  <si>
    <t>virbr0-write/s</t>
  </si>
  <si>
    <t>docker0-write/s</t>
  </si>
  <si>
    <t>Processes css-xcat4</t>
  </si>
  <si>
    <t>Blocked</t>
  </si>
  <si>
    <t>pswitch</t>
  </si>
  <si>
    <t>syscall</t>
  </si>
  <si>
    <t>read</t>
  </si>
  <si>
    <t>write</t>
  </si>
  <si>
    <t>fork</t>
  </si>
  <si>
    <t>exec</t>
  </si>
  <si>
    <t>sem</t>
  </si>
  <si>
    <t>msg</t>
  </si>
  <si>
    <t>Paging and Virtual Memory</t>
  </si>
  <si>
    <t>nr_dirty</t>
  </si>
  <si>
    <t>nr_writeback</t>
  </si>
  <si>
    <t>nr_unstable</t>
  </si>
  <si>
    <t>nr_page_table_pages</t>
  </si>
  <si>
    <t>nr_mapped</t>
  </si>
  <si>
    <t>nr_slab_reclaimable</t>
  </si>
  <si>
    <t>pgpgin</t>
  </si>
  <si>
    <t>pgpgout</t>
  </si>
  <si>
    <t>pswpin</t>
  </si>
  <si>
    <t>pswpout</t>
  </si>
  <si>
    <t>pgfree</t>
  </si>
  <si>
    <t>pgactivate</t>
  </si>
  <si>
    <t>pgdeactivate</t>
  </si>
  <si>
    <t>pgfault</t>
  </si>
  <si>
    <t>pgmajfault</t>
  </si>
  <si>
    <t>pginodesteal</t>
  </si>
  <si>
    <t>slabs_scanned</t>
  </si>
  <si>
    <t>kswapd_steal</t>
  </si>
  <si>
    <t>kswapd_inodesteal</t>
  </si>
  <si>
    <t>pageoutrun</t>
  </si>
  <si>
    <t>allocstall</t>
  </si>
  <si>
    <t>pgrotated</t>
  </si>
  <si>
    <t>pgalloc_high</t>
  </si>
  <si>
    <t>pgalloc_normal</t>
  </si>
  <si>
    <t>pgalloc_dma</t>
  </si>
  <si>
    <t>pgrefill_high</t>
  </si>
  <si>
    <t>pgrefill_normal</t>
  </si>
  <si>
    <t>pgrefill_dma</t>
  </si>
  <si>
    <t>pgsteal_high</t>
  </si>
  <si>
    <t>pgsteal_normal</t>
  </si>
  <si>
    <t>pgsteal_dma</t>
  </si>
  <si>
    <t>pgscan_kswapd_high</t>
  </si>
  <si>
    <t>pgscan_kswapd_normal</t>
  </si>
  <si>
    <t>pgscan_kswapd_dma</t>
  </si>
  <si>
    <t>pgscan_direct_high</t>
  </si>
  <si>
    <t>pgscan_direct_normal</t>
  </si>
  <si>
    <t>pgscan_direct_dma</t>
  </si>
  <si>
    <t>analyser</t>
  </si>
  <si>
    <t>V6.92</t>
  </si>
  <si>
    <t>environment</t>
  </si>
  <si>
    <t>Excel 16.0 on Windows (64-bit) NT 10.00</t>
  </si>
  <si>
    <t>parms</t>
  </si>
  <si>
    <t>BATCH=0,FIRST=1,LAST=999999,GRAPHS=ALL,OUTPUT=CHARTS,CPUmax=0,MERGE=NO,NOTOP=True,PIVOT=False,REORDER=True,TOPDISKS=0</t>
  </si>
  <si>
    <t>settings</t>
  </si>
  <si>
    <t>GWIDTH = 771.6,GHEIGHT=316,LSCAPE=False,REPROC=True,SROTDEFAULT=True</t>
  </si>
  <si>
    <t>CPU%</t>
  </si>
  <si>
    <t>Avg</t>
  </si>
  <si>
    <t>Avg.</t>
  </si>
  <si>
    <t>WAvg.</t>
  </si>
  <si>
    <t>Max.</t>
  </si>
  <si>
    <t>Min.</t>
  </si>
  <si>
    <t>SortKey</t>
  </si>
  <si>
    <t>Totals</t>
  </si>
  <si>
    <t>Disk total KB/s css-xcat4</t>
  </si>
  <si>
    <t>Disk Read KB/s</t>
  </si>
  <si>
    <t>Disk Write KB/s</t>
  </si>
  <si>
    <t>IO/sec</t>
  </si>
  <si>
    <t>Network I/O css-xcat4 (KB/s)</t>
  </si>
  <si>
    <t>lo-read</t>
  </si>
  <si>
    <t>lo-write</t>
  </si>
  <si>
    <t>lo-total</t>
  </si>
  <si>
    <t>eth0-read</t>
  </si>
  <si>
    <t>eth0-write</t>
  </si>
  <si>
    <t>eth0-total</t>
  </si>
  <si>
    <t>virbr0-read</t>
  </si>
  <si>
    <t>virbr0-write</t>
  </si>
  <si>
    <t>virbr0-total</t>
  </si>
  <si>
    <t>docker0-read</t>
  </si>
  <si>
    <t>docker0-write</t>
  </si>
  <si>
    <t>docker0-total</t>
  </si>
  <si>
    <t>Total-Read</t>
  </si>
  <si>
    <t>Total-Write (-ve)</t>
  </si>
  <si>
    <t>RunQueue</t>
  </si>
  <si>
    <t>Samples</t>
  </si>
  <si>
    <t>First</t>
  </si>
  <si>
    <t>Last</t>
  </si>
  <si>
    <t>Disk tps statistics</t>
  </si>
  <si>
    <t>Avg disk tps during an interval:</t>
  </si>
  <si>
    <t>Max disk tps during an interval:</t>
  </si>
  <si>
    <t>Max</t>
  </si>
  <si>
    <t>Max disk tps interval time:</t>
  </si>
  <si>
    <t>Max:Avg</t>
  </si>
  <si>
    <t>CPU:</t>
  </si>
  <si>
    <t>Total number of GBs read:</t>
  </si>
  <si>
    <t>Total number of GBs written:</t>
  </si>
  <si>
    <t>Read/Write Ratio:</t>
  </si>
  <si>
    <t>CPU_SUMM</t>
  </si>
  <si>
    <t>Analysis time</t>
  </si>
  <si>
    <t>16.07 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</si>
</sst>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d\-mmm\-yy"/>
    <numFmt numFmtId="165" formatCode="hh:mm:ss"/>
    <numFmt numFmtId="166" formatCode="0.0"/>
    <numFmt numFmtId="167" formatCode="hh:mm"/>
    <numFmt numFmtId="168" formatCode="#,##0.0"/>
    <numFmt numFmtId="169" formatCode="#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ourie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21" fontId="0" fillId="0" borderId="0" xfId="0" applyNumberFormat="1"/>
    <xf numFmtId="0" fontId="1" fillId="0" borderId="0" xfId="0" applyFont="1"/>
    <xf numFmtId="164" fontId="0" fillId="0" borderId="0" xfId="0" applyNumberFormat="1"/>
    <xf numFmtId="0" fontId="0" fillId="0" borderId="0" xfId="0" applyAlignment="1">
      <alignment horizontal="left"/>
    </xf>
    <xf numFmtId="22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0" fontId="2" fillId="0" borderId="0" xfId="0" applyFont="1"/>
    <xf numFmtId="166" fontId="0" fillId="0" borderId="0" xfId="0" applyNumberFormat="1"/>
    <xf numFmtId="167" fontId="0" fillId="0" borderId="0" xfId="0" applyNumberFormat="1"/>
    <xf numFmtId="21" fontId="1" fillId="0" borderId="0" xfId="0" applyNumberFormat="1" applyFont="1"/>
    <xf numFmtId="3" fontId="0" fillId="0" borderId="0" xfId="0" applyNumberFormat="1"/>
    <xf numFmtId="168" fontId="0" fillId="0" borderId="0" xfId="0" applyNumberFormat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System Summary css-xcat4  2/23/2023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CPU_ALL!$J$1</c:f>
              <c:strCache>
                <c:ptCount val="1"/>
                <c:pt idx="0">
                  <c:v>CPU%</c:v>
                </c:pt>
              </c:strCache>
            </c:strRef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CPU_ALL!$A$2:$A$11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CPU_ALL!$J$2:$J$11</c:f>
              <c:numCache>
                <c:formatCode>General</c:formatCode>
                <c:ptCount val="10"/>
                <c:pt idx="0">
                  <c:v>5.3</c:v>
                </c:pt>
                <c:pt idx="1">
                  <c:v>0</c:v>
                </c:pt>
                <c:pt idx="2">
                  <c:v>22.2</c:v>
                </c:pt>
                <c:pt idx="3">
                  <c:v>100</c:v>
                </c:pt>
                <c:pt idx="4">
                  <c:v>99.9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95</c:v>
                </c:pt>
                <c:pt idx="9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19-4E1B-B246-DE9FFE1B7E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5290031"/>
        <c:axId val="595307087"/>
      </c:lineChart>
      <c:lineChart>
        <c:grouping val="standard"/>
        <c:varyColors val="0"/>
        <c:ser>
          <c:idx val="1"/>
          <c:order val="1"/>
          <c:tx>
            <c:v>IO/sec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DISK_SUMM!$D$2:$D$11</c:f>
              <c:numCache>
                <c:formatCode>General</c:formatCode>
                <c:ptCount val="10"/>
                <c:pt idx="0">
                  <c:v>0</c:v>
                </c:pt>
                <c:pt idx="1">
                  <c:v>55.8</c:v>
                </c:pt>
                <c:pt idx="2">
                  <c:v>399.6</c:v>
                </c:pt>
                <c:pt idx="3">
                  <c:v>0</c:v>
                </c:pt>
                <c:pt idx="4">
                  <c:v>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219-4E1B-B246-DE9FFE1B7E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5299599"/>
        <c:axId val="595308335"/>
      </c:lineChart>
      <c:catAx>
        <c:axId val="595290031"/>
        <c:scaling>
          <c:orientation val="minMax"/>
        </c:scaling>
        <c:delete val="0"/>
        <c:axPos val="b"/>
        <c:numFmt formatCode="hh:mm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595307087"/>
        <c:crosses val="autoZero"/>
        <c:auto val="0"/>
        <c:lblAlgn val="ctr"/>
        <c:lblOffset val="100"/>
        <c:noMultiLvlLbl val="0"/>
      </c:catAx>
      <c:valAx>
        <c:axId val="595307087"/>
        <c:scaling>
          <c:orientation val="minMax"/>
          <c:max val="10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usr%+sys%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595290031"/>
        <c:crosses val="autoZero"/>
        <c:crossBetween val="midCat"/>
      </c:valAx>
      <c:valAx>
        <c:axId val="595308335"/>
        <c:scaling>
          <c:orientation val="minMax"/>
          <c:min val="0"/>
        </c:scaling>
        <c:delete val="0"/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Disk xfers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95299599"/>
        <c:crosses val="max"/>
        <c:crossBetween val="between"/>
      </c:valAx>
      <c:catAx>
        <c:axId val="595299599"/>
        <c:scaling>
          <c:orientation val="minMax"/>
        </c:scaling>
        <c:delete val="1"/>
        <c:axPos val="b"/>
        <c:majorTickMark val="out"/>
        <c:minorTickMark val="none"/>
        <c:tickLblPos val="nextTo"/>
        <c:crossAx val="595308335"/>
        <c:auto val="1"/>
        <c:lblAlgn val="ctr"/>
        <c:lblOffset val="100"/>
        <c:noMultiLvlLbl val="0"/>
      </c:catAx>
    </c:plotArea>
    <c:legend>
      <c:legendPos val="t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Disk total KB/s css-xcat4 - 2/23/2023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DISK_SUMM!$B$1</c:f>
              <c:strCache>
                <c:ptCount val="1"/>
                <c:pt idx="0">
                  <c:v>Disk Read KB/s</c:v>
                </c:pt>
              </c:strCache>
            </c:strRef>
          </c:tx>
          <c:cat>
            <c:numRef>
              <c:f>DISK_SUMM!$A$2:$A$11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DISK_SUMM!$B$2:$B$11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29B-46DF-8320-7901FCA4B25C}"/>
            </c:ext>
          </c:extLst>
        </c:ser>
        <c:ser>
          <c:idx val="1"/>
          <c:order val="1"/>
          <c:tx>
            <c:strRef>
              <c:f>DISK_SUMM!$C$1</c:f>
              <c:strCache>
                <c:ptCount val="1"/>
                <c:pt idx="0">
                  <c:v>Disk Write KB/s</c:v>
                </c:pt>
              </c:strCache>
            </c:strRef>
          </c:tx>
          <c:cat>
            <c:numRef>
              <c:f>DISK_SUMM!$A$2:$A$11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DISK_SUMM!$C$2:$C$11</c:f>
              <c:numCache>
                <c:formatCode>General</c:formatCode>
                <c:ptCount val="10"/>
                <c:pt idx="0">
                  <c:v>0</c:v>
                </c:pt>
                <c:pt idx="1">
                  <c:v>247.4</c:v>
                </c:pt>
                <c:pt idx="2">
                  <c:v>1598</c:v>
                </c:pt>
                <c:pt idx="3">
                  <c:v>0</c:v>
                </c:pt>
                <c:pt idx="4">
                  <c:v>415.6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29B-46DF-8320-7901FCA4B2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6698271"/>
        <c:axId val="586696191"/>
      </c:areaChart>
      <c:lineChart>
        <c:grouping val="standard"/>
        <c:varyColors val="0"/>
        <c:ser>
          <c:idx val="2"/>
          <c:order val="2"/>
          <c:tx>
            <c:v>IO/sec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val>
            <c:numRef>
              <c:f>DISK_SUMM!$D$2:$D$11</c:f>
              <c:numCache>
                <c:formatCode>General</c:formatCode>
                <c:ptCount val="10"/>
                <c:pt idx="0">
                  <c:v>0</c:v>
                </c:pt>
                <c:pt idx="1">
                  <c:v>55.8</c:v>
                </c:pt>
                <c:pt idx="2">
                  <c:v>399.6</c:v>
                </c:pt>
                <c:pt idx="3">
                  <c:v>0</c:v>
                </c:pt>
                <c:pt idx="4">
                  <c:v>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29B-46DF-8320-7901FCA4B2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6688703"/>
        <c:axId val="586709919"/>
      </c:lineChart>
      <c:catAx>
        <c:axId val="586698271"/>
        <c:scaling>
          <c:orientation val="minMax"/>
        </c:scaling>
        <c:delete val="0"/>
        <c:axPos val="b"/>
        <c:numFmt formatCode="hh:mm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586696191"/>
        <c:crosses val="autoZero"/>
        <c:auto val="0"/>
        <c:lblAlgn val="ctr"/>
        <c:lblOffset val="100"/>
        <c:noMultiLvlLbl val="0"/>
      </c:catAx>
      <c:valAx>
        <c:axId val="586696191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KB/sec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586698271"/>
        <c:crosses val="autoZero"/>
        <c:crossBetween val="between"/>
      </c:valAx>
      <c:valAx>
        <c:axId val="586709919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IO/sec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86688703"/>
        <c:crosses val="max"/>
        <c:crossBetween val="between"/>
      </c:valAx>
      <c:catAx>
        <c:axId val="586688703"/>
        <c:scaling>
          <c:orientation val="minMax"/>
        </c:scaling>
        <c:delete val="1"/>
        <c:axPos val="b"/>
        <c:majorTickMark val="out"/>
        <c:minorTickMark val="none"/>
        <c:tickLblPos val="nextTo"/>
        <c:crossAx val="586709919"/>
        <c:auto val="1"/>
        <c:lblAlgn val="ctr"/>
        <c:lblOffset val="100"/>
        <c:noMultiLvlLbl val="0"/>
      </c:catAx>
    </c:plotArea>
    <c:legend>
      <c:legendPos val="t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Disk total KB/s css-xcat4  2/23/2023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DISK_SUMM!$A$13</c:f>
              <c:strCache>
                <c:ptCount val="1"/>
                <c:pt idx="0">
                  <c:v>Avg.</c:v>
                </c:pt>
              </c:strCache>
            </c:strRef>
          </c:tx>
          <c:invertIfNegative val="0"/>
          <c:cat>
            <c:strRef>
              <c:f>DISK_SUMM!$B$1:$D$1</c:f>
              <c:strCache>
                <c:ptCount val="3"/>
                <c:pt idx="0">
                  <c:v>Disk Read KB/s</c:v>
                </c:pt>
                <c:pt idx="1">
                  <c:v>Disk Write KB/s</c:v>
                </c:pt>
                <c:pt idx="2">
                  <c:v>IO/sec</c:v>
                </c:pt>
              </c:strCache>
            </c:strRef>
          </c:cat>
          <c:val>
            <c:numRef>
              <c:f>DISK_SUMM!$B$13:$D$13</c:f>
              <c:numCache>
                <c:formatCode>0.0</c:formatCode>
                <c:ptCount val="3"/>
                <c:pt idx="0">
                  <c:v>0</c:v>
                </c:pt>
                <c:pt idx="1">
                  <c:v>226.1</c:v>
                </c:pt>
                <c:pt idx="2">
                  <c:v>45.940000000000005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2B5-4FD9-98F3-9C86F8EB508E}"/>
            </c:ext>
          </c:extLst>
        </c:ser>
        <c:ser>
          <c:idx val="1"/>
          <c:order val="1"/>
          <c:tx>
            <c:strRef>
              <c:f>DISK_SUMM!$A$14</c:f>
              <c:strCache>
                <c:ptCount val="1"/>
                <c:pt idx="0">
                  <c:v>WAvg.</c:v>
                </c:pt>
              </c:strCache>
            </c:strRef>
          </c:tx>
          <c:invertIfNegative val="0"/>
          <c:val>
            <c:numRef>
              <c:f>DISK_SUMM!$B$14:$D$14</c:f>
              <c:numCache>
                <c:formatCode>0.0</c:formatCode>
                <c:ptCount val="3"/>
                <c:pt idx="0">
                  <c:v>0</c:v>
                </c:pt>
                <c:pt idx="1">
                  <c:v>1006.7766563467491</c:v>
                </c:pt>
                <c:pt idx="2">
                  <c:v>308.45660426643457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2B5-4FD9-98F3-9C86F8EB50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86700351"/>
        <c:axId val="586707007"/>
      </c:barChart>
      <c:lineChart>
        <c:grouping val="standard"/>
        <c:varyColors val="0"/>
        <c:ser>
          <c:idx val="2"/>
          <c:order val="2"/>
          <c:tx>
            <c:v>Max</c:v>
          </c:tx>
          <c:spPr>
            <a:solidFill>
              <a:srgbClr val="008000"/>
            </a:solidFill>
            <a:ln w="25400">
              <a:solidFill>
                <a:srgbClr val="008000"/>
              </a:solidFill>
              <a:prstDash val="solid"/>
            </a:ln>
          </c:spPr>
          <c:marker>
            <c:symbol val="none"/>
          </c:marker>
          <c:val>
            <c:numRef>
              <c:f>DISK_SUMM!$B$15:$D$15</c:f>
              <c:numCache>
                <c:formatCode>0.0</c:formatCode>
                <c:ptCount val="3"/>
                <c:pt idx="0">
                  <c:v>0</c:v>
                </c:pt>
                <c:pt idx="1">
                  <c:v>1598</c:v>
                </c:pt>
                <c:pt idx="2">
                  <c:v>399.6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2B5-4FD9-98F3-9C86F8EB508E}"/>
            </c:ext>
          </c:extLst>
        </c:ser>
        <c:ser>
          <c:idx val="3"/>
          <c:order val="3"/>
          <c:tx>
            <c:v>Min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val>
            <c:numRef>
              <c:f>DISK_SUMM!$B$16:$D$16</c:f>
              <c:numCache>
                <c:formatCode>0.0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2B5-4FD9-98F3-9C86F8EB50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6692447"/>
        <c:axId val="586693695"/>
      </c:lineChart>
      <c:catAx>
        <c:axId val="5867003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586707007"/>
        <c:crosses val="autoZero"/>
        <c:auto val="1"/>
        <c:lblAlgn val="ctr"/>
        <c:lblOffset val="100"/>
        <c:tickLblSkip val="1"/>
        <c:noMultiLvlLbl val="0"/>
      </c:catAx>
      <c:valAx>
        <c:axId val="586707007"/>
        <c:scaling>
          <c:orientation val="minMax"/>
          <c:max val="1599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Avg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586700351"/>
        <c:crosses val="autoZero"/>
        <c:crossBetween val="between"/>
      </c:valAx>
      <c:valAx>
        <c:axId val="586693695"/>
        <c:scaling>
          <c:orientation val="minMax"/>
          <c:max val="1599"/>
          <c:min val="0"/>
        </c:scaling>
        <c:delete val="0"/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Min/Max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586692447"/>
        <c:crosses val="max"/>
        <c:crossBetween val="between"/>
      </c:valAx>
      <c:catAx>
        <c:axId val="586692447"/>
        <c:scaling>
          <c:orientation val="minMax"/>
        </c:scaling>
        <c:delete val="1"/>
        <c:axPos val="b"/>
        <c:majorTickMark val="out"/>
        <c:minorTickMark val="none"/>
        <c:tickLblPos val="nextTo"/>
        <c:crossAx val="586693695"/>
        <c:auto val="1"/>
        <c:lblAlgn val="ctr"/>
        <c:lblOffset val="100"/>
        <c:noMultiLvlLbl val="0"/>
      </c:catAx>
    </c:plotArea>
    <c:legend>
      <c:legendPos val="t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CPU Total css-xcat4  2/23/2023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CPU_ALL!$B$1</c:f>
              <c:strCache>
                <c:ptCount val="1"/>
                <c:pt idx="0">
                  <c:v>User%</c:v>
                </c:pt>
              </c:strCache>
            </c:strRef>
          </c:tx>
          <c:invertIfNegative val="0"/>
          <c:cat>
            <c:numRef>
              <c:f>CPU_ALL!$A$2:$A$11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CPU_ALL!$B$2:$B$11</c:f>
              <c:numCache>
                <c:formatCode>General</c:formatCode>
                <c:ptCount val="10"/>
                <c:pt idx="0">
                  <c:v>2.8</c:v>
                </c:pt>
                <c:pt idx="1">
                  <c:v>0</c:v>
                </c:pt>
                <c:pt idx="2">
                  <c:v>7.1</c:v>
                </c:pt>
                <c:pt idx="3">
                  <c:v>68.8</c:v>
                </c:pt>
                <c:pt idx="4">
                  <c:v>74.5</c:v>
                </c:pt>
                <c:pt idx="5">
                  <c:v>78.5</c:v>
                </c:pt>
                <c:pt idx="6">
                  <c:v>77.400000000000006</c:v>
                </c:pt>
                <c:pt idx="7">
                  <c:v>81.599999999999994</c:v>
                </c:pt>
                <c:pt idx="8">
                  <c:v>84.2</c:v>
                </c:pt>
                <c:pt idx="9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287-47E4-BA4F-9D90B29F5DF4}"/>
            </c:ext>
          </c:extLst>
        </c:ser>
        <c:ser>
          <c:idx val="1"/>
          <c:order val="1"/>
          <c:tx>
            <c:strRef>
              <c:f>CPU_ALL!$C$1</c:f>
              <c:strCache>
                <c:ptCount val="1"/>
                <c:pt idx="0">
                  <c:v>Sys%</c:v>
                </c:pt>
              </c:strCache>
            </c:strRef>
          </c:tx>
          <c:invertIfNegative val="0"/>
          <c:cat>
            <c:numRef>
              <c:f>CPU_ALL!$A$2:$A$11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CPU_ALL!$C$2:$C$11</c:f>
              <c:numCache>
                <c:formatCode>General</c:formatCode>
                <c:ptCount val="10"/>
                <c:pt idx="0">
                  <c:v>2.5</c:v>
                </c:pt>
                <c:pt idx="1">
                  <c:v>0</c:v>
                </c:pt>
                <c:pt idx="2">
                  <c:v>15.1</c:v>
                </c:pt>
                <c:pt idx="3">
                  <c:v>31.2</c:v>
                </c:pt>
                <c:pt idx="4">
                  <c:v>25.4</c:v>
                </c:pt>
                <c:pt idx="5">
                  <c:v>21.5</c:v>
                </c:pt>
                <c:pt idx="6">
                  <c:v>22.6</c:v>
                </c:pt>
                <c:pt idx="7">
                  <c:v>18.399999999999999</c:v>
                </c:pt>
                <c:pt idx="8">
                  <c:v>10.8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287-47E4-BA4F-9D90B29F5DF4}"/>
            </c:ext>
          </c:extLst>
        </c:ser>
        <c:ser>
          <c:idx val="2"/>
          <c:order val="2"/>
          <c:tx>
            <c:strRef>
              <c:f>CPU_ALL!$D$1</c:f>
              <c:strCache>
                <c:ptCount val="1"/>
                <c:pt idx="0">
                  <c:v>Wait%</c:v>
                </c:pt>
              </c:strCache>
            </c:strRef>
          </c:tx>
          <c:invertIfNegative val="0"/>
          <c:cat>
            <c:numRef>
              <c:f>CPU_ALL!$A$2:$A$11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CPU_ALL!$D$2:$D$11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287-47E4-BA4F-9D90B29F5DF4}"/>
            </c:ext>
          </c:extLst>
        </c:ser>
        <c:ser>
          <c:idx val="3"/>
          <c:order val="3"/>
          <c:tx>
            <c:strRef>
              <c:f>CPU_ALL!$E$1</c:f>
              <c:strCache>
                <c:ptCount val="1"/>
                <c:pt idx="0">
                  <c:v>Idle%</c:v>
                </c:pt>
              </c:strCache>
            </c:strRef>
          </c:tx>
          <c:invertIfNegative val="0"/>
          <c:cat>
            <c:numRef>
              <c:f>CPU_ALL!$A$2:$A$11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CPU_ALL!$E$2:$E$11</c:f>
              <c:numCache>
                <c:formatCode>General</c:formatCode>
                <c:ptCount val="10"/>
                <c:pt idx="0">
                  <c:v>94.6</c:v>
                </c:pt>
                <c:pt idx="1">
                  <c:v>100</c:v>
                </c:pt>
                <c:pt idx="2">
                  <c:v>77.8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</c:v>
                </c:pt>
                <c:pt idx="9">
                  <c:v>99.8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287-47E4-BA4F-9D90B29F5DF4}"/>
            </c:ext>
          </c:extLst>
        </c:ser>
        <c:ser>
          <c:idx val="4"/>
          <c:order val="4"/>
          <c:tx>
            <c:strRef>
              <c:f>CPU_ALL!$F$1</c:f>
              <c:strCache>
                <c:ptCount val="1"/>
                <c:pt idx="0">
                  <c:v>Steal%</c:v>
                </c:pt>
              </c:strCache>
            </c:strRef>
          </c:tx>
          <c:invertIfNegative val="0"/>
          <c:cat>
            <c:numRef>
              <c:f>CPU_ALL!$A$2:$A$11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CPU_ALL!$F$2:$F$11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7287-47E4-BA4F-9D90B29F5DF4}"/>
            </c:ext>
          </c:extLst>
        </c:ser>
        <c:ser>
          <c:idx val="5"/>
          <c:order val="5"/>
          <c:tx>
            <c:strRef>
              <c:f>CPU_ALL!$G$1</c:f>
              <c:strCache>
                <c:ptCount val="1"/>
                <c:pt idx="0">
                  <c:v>Busy</c:v>
                </c:pt>
              </c:strCache>
            </c:strRef>
          </c:tx>
          <c:invertIfNegative val="0"/>
          <c:cat>
            <c:numRef>
              <c:f>CPU_ALL!$A$2:$A$11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CPU_ALL!$G$2:$G$11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C-7287-47E4-BA4F-9D90B29F5D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586659999"/>
        <c:axId val="586669151"/>
      </c:barChart>
      <c:catAx>
        <c:axId val="586659999"/>
        <c:scaling>
          <c:orientation val="minMax"/>
        </c:scaling>
        <c:delete val="0"/>
        <c:axPos val="b"/>
        <c:numFmt formatCode="hh:mm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586669151"/>
        <c:crosses val="autoZero"/>
        <c:auto val="0"/>
        <c:lblAlgn val="ctr"/>
        <c:lblOffset val="100"/>
        <c:noMultiLvlLbl val="0"/>
      </c:catAx>
      <c:valAx>
        <c:axId val="586669151"/>
        <c:scaling>
          <c:orientation val="minMax"/>
          <c:max val="10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Utilization (%)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586659999"/>
        <c:crosses val="autoZero"/>
        <c:crossBetween val="between"/>
      </c:valAx>
    </c:plotArea>
    <c:legend>
      <c:legendPos val="t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CPU by Processor css-xcat4  2/23/2023    (0 threads not shown)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CPU_SUMM!$B$1</c:f>
              <c:strCache>
                <c:ptCount val="1"/>
                <c:pt idx="0">
                  <c:v>User%</c:v>
                </c:pt>
              </c:strCache>
            </c:strRef>
          </c:tx>
          <c:spPr>
            <a:solidFill>
              <a:srgbClr val="0000FF"/>
            </a:solidFill>
          </c:spPr>
          <c:invertIfNegative val="0"/>
          <c:cat>
            <c:strRef>
              <c:f>CPU_SUMM!$A$2:$A$9</c:f>
              <c:strCache>
                <c:ptCount val="8"/>
                <c:pt idx="0">
                  <c:v>CPU001</c:v>
                </c:pt>
                <c:pt idx="1">
                  <c:v>CPU002</c:v>
                </c:pt>
                <c:pt idx="2">
                  <c:v>CPU003</c:v>
                </c:pt>
                <c:pt idx="3">
                  <c:v>CPU004</c:v>
                </c:pt>
                <c:pt idx="4">
                  <c:v>CPU005</c:v>
                </c:pt>
                <c:pt idx="5">
                  <c:v>CPU006</c:v>
                </c:pt>
                <c:pt idx="6">
                  <c:v>CPU007</c:v>
                </c:pt>
                <c:pt idx="7">
                  <c:v>CPU008</c:v>
                </c:pt>
              </c:strCache>
            </c:strRef>
          </c:cat>
          <c:val>
            <c:numRef>
              <c:f>CPU_SUMM!$B$2:$B$9</c:f>
              <c:numCache>
                <c:formatCode>#0.0</c:formatCode>
                <c:ptCount val="8"/>
                <c:pt idx="0">
                  <c:v>46.85</c:v>
                </c:pt>
                <c:pt idx="1">
                  <c:v>46.5</c:v>
                </c:pt>
                <c:pt idx="2">
                  <c:v>45.89</c:v>
                </c:pt>
                <c:pt idx="3">
                  <c:v>49.43</c:v>
                </c:pt>
                <c:pt idx="4">
                  <c:v>48.32</c:v>
                </c:pt>
                <c:pt idx="5">
                  <c:v>46.620000000000005</c:v>
                </c:pt>
                <c:pt idx="6">
                  <c:v>48.89</c:v>
                </c:pt>
                <c:pt idx="7">
                  <c:v>47.6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0B7-40E6-8AF7-E3B05452A2F3}"/>
            </c:ext>
          </c:extLst>
        </c:ser>
        <c:ser>
          <c:idx val="1"/>
          <c:order val="1"/>
          <c:tx>
            <c:strRef>
              <c:f>CPU_SUMM!$C$1</c:f>
              <c:strCache>
                <c:ptCount val="1"/>
                <c:pt idx="0">
                  <c:v>Sys%</c:v>
                </c:pt>
              </c:strCache>
            </c:strRef>
          </c:tx>
          <c:spPr>
            <a:solidFill>
              <a:srgbClr val="800000"/>
            </a:solidFill>
          </c:spPr>
          <c:invertIfNegative val="0"/>
          <c:cat>
            <c:strRef>
              <c:f>CPU_SUMM!$A$2:$A$9</c:f>
              <c:strCache>
                <c:ptCount val="8"/>
                <c:pt idx="0">
                  <c:v>CPU001</c:v>
                </c:pt>
                <c:pt idx="1">
                  <c:v>CPU002</c:v>
                </c:pt>
                <c:pt idx="2">
                  <c:v>CPU003</c:v>
                </c:pt>
                <c:pt idx="3">
                  <c:v>CPU004</c:v>
                </c:pt>
                <c:pt idx="4">
                  <c:v>CPU005</c:v>
                </c:pt>
                <c:pt idx="5">
                  <c:v>CPU006</c:v>
                </c:pt>
                <c:pt idx="6">
                  <c:v>CPU007</c:v>
                </c:pt>
                <c:pt idx="7">
                  <c:v>CPU008</c:v>
                </c:pt>
              </c:strCache>
            </c:strRef>
          </c:cat>
          <c:val>
            <c:numRef>
              <c:f>CPU_SUMM!$C$2:$C$9</c:f>
              <c:numCache>
                <c:formatCode>#0.0</c:formatCode>
                <c:ptCount val="8"/>
                <c:pt idx="0">
                  <c:v>15.73</c:v>
                </c:pt>
                <c:pt idx="1">
                  <c:v>15.060000000000002</c:v>
                </c:pt>
                <c:pt idx="2">
                  <c:v>16.399999999999999</c:v>
                </c:pt>
                <c:pt idx="3">
                  <c:v>13.76</c:v>
                </c:pt>
                <c:pt idx="4">
                  <c:v>13.459999999999999</c:v>
                </c:pt>
                <c:pt idx="5">
                  <c:v>15.51</c:v>
                </c:pt>
                <c:pt idx="6">
                  <c:v>12.919999999999998</c:v>
                </c:pt>
                <c:pt idx="7">
                  <c:v>15.209999999999999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0B7-40E6-8AF7-E3B05452A2F3}"/>
            </c:ext>
          </c:extLst>
        </c:ser>
        <c:ser>
          <c:idx val="2"/>
          <c:order val="2"/>
          <c:tx>
            <c:strRef>
              <c:f>CPU_SUMM!$D$1</c:f>
              <c:strCache>
                <c:ptCount val="1"/>
                <c:pt idx="0">
                  <c:v>Wait%</c:v>
                </c:pt>
              </c:strCache>
            </c:strRef>
          </c:tx>
          <c:spPr>
            <a:solidFill>
              <a:srgbClr val="008040"/>
            </a:solidFill>
          </c:spPr>
          <c:invertIfNegative val="0"/>
          <c:cat>
            <c:strRef>
              <c:f>CPU_SUMM!$A$2:$A$9</c:f>
              <c:strCache>
                <c:ptCount val="8"/>
                <c:pt idx="0">
                  <c:v>CPU001</c:v>
                </c:pt>
                <c:pt idx="1">
                  <c:v>CPU002</c:v>
                </c:pt>
                <c:pt idx="2">
                  <c:v>CPU003</c:v>
                </c:pt>
                <c:pt idx="3">
                  <c:v>CPU004</c:v>
                </c:pt>
                <c:pt idx="4">
                  <c:v>CPU005</c:v>
                </c:pt>
                <c:pt idx="5">
                  <c:v>CPU006</c:v>
                </c:pt>
                <c:pt idx="6">
                  <c:v>CPU007</c:v>
                </c:pt>
                <c:pt idx="7">
                  <c:v>CPU008</c:v>
                </c:pt>
              </c:strCache>
            </c:strRef>
          </c:cat>
          <c:val>
            <c:numRef>
              <c:f>CPU_SUMM!$D$2:$D$9</c:f>
              <c:numCache>
                <c:formatCode>#0.0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0B7-40E6-8AF7-E3B05452A2F3}"/>
            </c:ext>
          </c:extLst>
        </c:ser>
        <c:ser>
          <c:idx val="3"/>
          <c:order val="3"/>
          <c:tx>
            <c:strRef>
              <c:f>CPU_SUMM!$E$1</c:f>
              <c:strCache>
                <c:ptCount val="1"/>
                <c:pt idx="0">
                  <c:v>Idle%</c:v>
                </c:pt>
              </c:strCache>
            </c:strRef>
          </c:tx>
          <c:spPr>
            <a:solidFill>
              <a:srgbClr val="C0C0C0"/>
            </a:solidFill>
          </c:spPr>
          <c:invertIfNegative val="0"/>
          <c:cat>
            <c:strRef>
              <c:f>CPU_SUMM!$A$2:$A$9</c:f>
              <c:strCache>
                <c:ptCount val="8"/>
                <c:pt idx="0">
                  <c:v>CPU001</c:v>
                </c:pt>
                <c:pt idx="1">
                  <c:v>CPU002</c:v>
                </c:pt>
                <c:pt idx="2">
                  <c:v>CPU003</c:v>
                </c:pt>
                <c:pt idx="3">
                  <c:v>CPU004</c:v>
                </c:pt>
                <c:pt idx="4">
                  <c:v>CPU005</c:v>
                </c:pt>
                <c:pt idx="5">
                  <c:v>CPU006</c:v>
                </c:pt>
                <c:pt idx="6">
                  <c:v>CPU007</c:v>
                </c:pt>
                <c:pt idx="7">
                  <c:v>CPU008</c:v>
                </c:pt>
              </c:strCache>
            </c:strRef>
          </c:cat>
          <c:val>
            <c:numRef>
              <c:f>CPU_SUMM!$E$2:$E$9</c:f>
              <c:numCache>
                <c:formatCode>#0.0</c:formatCode>
                <c:ptCount val="8"/>
                <c:pt idx="0">
                  <c:v>37.409999999999997</c:v>
                </c:pt>
                <c:pt idx="1">
                  <c:v>38.44</c:v>
                </c:pt>
                <c:pt idx="2">
                  <c:v>37.72</c:v>
                </c:pt>
                <c:pt idx="3">
                  <c:v>36.81</c:v>
                </c:pt>
                <c:pt idx="4">
                  <c:v>38.229999999999997</c:v>
                </c:pt>
                <c:pt idx="5">
                  <c:v>37.89</c:v>
                </c:pt>
                <c:pt idx="6">
                  <c:v>38.18</c:v>
                </c:pt>
                <c:pt idx="7">
                  <c:v>37.21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0B7-40E6-8AF7-E3B05452A2F3}"/>
            </c:ext>
          </c:extLst>
        </c:ser>
        <c:ser>
          <c:idx val="4"/>
          <c:order val="4"/>
          <c:tx>
            <c:strRef>
              <c:f>CPU_SUMM!$F$1</c:f>
              <c:strCache>
                <c:ptCount val="1"/>
                <c:pt idx="0">
                  <c:v>Steal%</c:v>
                </c:pt>
              </c:strCache>
            </c:strRef>
          </c:tx>
          <c:spPr>
            <a:solidFill>
              <a:srgbClr val="FFFF00"/>
            </a:solidFill>
          </c:spPr>
          <c:invertIfNegative val="0"/>
          <c:cat>
            <c:strRef>
              <c:f>CPU_SUMM!$A$2:$A$9</c:f>
              <c:strCache>
                <c:ptCount val="8"/>
                <c:pt idx="0">
                  <c:v>CPU001</c:v>
                </c:pt>
                <c:pt idx="1">
                  <c:v>CPU002</c:v>
                </c:pt>
                <c:pt idx="2">
                  <c:v>CPU003</c:v>
                </c:pt>
                <c:pt idx="3">
                  <c:v>CPU004</c:v>
                </c:pt>
                <c:pt idx="4">
                  <c:v>CPU005</c:v>
                </c:pt>
                <c:pt idx="5">
                  <c:v>CPU006</c:v>
                </c:pt>
                <c:pt idx="6">
                  <c:v>CPU007</c:v>
                </c:pt>
                <c:pt idx="7">
                  <c:v>CPU008</c:v>
                </c:pt>
              </c:strCache>
            </c:strRef>
          </c:cat>
          <c:val>
            <c:numRef>
              <c:f>CPU_SUMM!$F$2:$F$9</c:f>
              <c:numCache>
                <c:formatCode>#0.0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0B7-40E6-8AF7-E3B05452A2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95311663"/>
        <c:axId val="595312495"/>
      </c:barChart>
      <c:catAx>
        <c:axId val="59531166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595312495"/>
        <c:crosses val="autoZero"/>
        <c:auto val="1"/>
        <c:lblAlgn val="ctr"/>
        <c:lblOffset val="100"/>
        <c:tickLblSkip val="1"/>
        <c:noMultiLvlLbl val="0"/>
      </c:catAx>
      <c:valAx>
        <c:axId val="595312495"/>
        <c:scaling>
          <c:orientation val="minMax"/>
          <c:max val="100"/>
          <c:min val="0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595311663"/>
        <c:crosses val="autoZero"/>
        <c:crossBetween val="between"/>
      </c:valAx>
    </c:plotArea>
    <c:legend>
      <c:legendPos val="t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Disk Block Size css-xcat4  2/23/2023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Avg.</c:v>
          </c:tx>
          <c:invertIfNegative val="0"/>
          <c:cat>
            <c:strRef>
              <c:f>DISKBSIZE!$B$1:$R$1</c:f>
              <c:strCache>
                <c:ptCount val="17"/>
                <c:pt idx="0">
                  <c:v>vda</c:v>
                </c:pt>
                <c:pt idx="1">
                  <c:v>vda1</c:v>
                </c:pt>
                <c:pt idx="2">
                  <c:v>loop0</c:v>
                </c:pt>
                <c:pt idx="3">
                  <c:v>loop1</c:v>
                </c:pt>
                <c:pt idx="4">
                  <c:v>loop2</c:v>
                </c:pt>
                <c:pt idx="5">
                  <c:v>loop3</c:v>
                </c:pt>
                <c:pt idx="6">
                  <c:v>loop4</c:v>
                </c:pt>
                <c:pt idx="7">
                  <c:v>loop5</c:v>
                </c:pt>
                <c:pt idx="8">
                  <c:v>loop6</c:v>
                </c:pt>
                <c:pt idx="9">
                  <c:v>loop7</c:v>
                </c:pt>
                <c:pt idx="10">
                  <c:v>vda14</c:v>
                </c:pt>
                <c:pt idx="11">
                  <c:v>vda15</c:v>
                </c:pt>
                <c:pt idx="12">
                  <c:v>vdb</c:v>
                </c:pt>
                <c:pt idx="13">
                  <c:v>loop8</c:v>
                </c:pt>
                <c:pt idx="14">
                  <c:v>loop9</c:v>
                </c:pt>
                <c:pt idx="15">
                  <c:v>loop10</c:v>
                </c:pt>
                <c:pt idx="16">
                  <c:v>loop11</c:v>
                </c:pt>
              </c:strCache>
            </c:strRef>
          </c:cat>
          <c:val>
            <c:numRef>
              <c:f>DISKBSIZE!$B$13:$R$13</c:f>
              <c:numCache>
                <c:formatCode>0.0</c:formatCode>
                <c:ptCount val="17"/>
                <c:pt idx="0">
                  <c:v>11.24</c:v>
                </c:pt>
                <c:pt idx="1">
                  <c:v>11.24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DAE-4ECF-9AFD-4510D8B35FC7}"/>
            </c:ext>
          </c:extLst>
        </c:ser>
        <c:ser>
          <c:idx val="1"/>
          <c:order val="1"/>
          <c:tx>
            <c:v>WAvg.</c:v>
          </c:tx>
          <c:invertIfNegative val="0"/>
          <c:val>
            <c:numRef>
              <c:f>DISKBSIZE!$B$14:$R$14</c:f>
              <c:numCache>
                <c:formatCode>0.0</c:formatCode>
                <c:ptCount val="17"/>
                <c:pt idx="0">
                  <c:v>85.302348754448403</c:v>
                </c:pt>
                <c:pt idx="1">
                  <c:v>85.302348754448403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8DAE-4ECF-9AFD-4510D8B35F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86680799"/>
        <c:axId val="586673311"/>
      </c:barChart>
      <c:lineChart>
        <c:grouping val="standard"/>
        <c:varyColors val="0"/>
        <c:ser>
          <c:idx val="2"/>
          <c:order val="2"/>
          <c:tx>
            <c:v>Max</c:v>
          </c:tx>
          <c:spPr>
            <a:solidFill>
              <a:srgbClr val="008000"/>
            </a:solidFill>
            <a:ln w="25400">
              <a:solidFill>
                <a:srgbClr val="008000"/>
              </a:solidFill>
              <a:prstDash val="solid"/>
            </a:ln>
          </c:spPr>
          <c:marker>
            <c:symbol val="none"/>
          </c:marker>
          <c:val>
            <c:numRef>
              <c:f>DISKBSIZE!$B$15:$R$15</c:f>
              <c:numCache>
                <c:formatCode>0.0</c:formatCode>
                <c:ptCount val="17"/>
                <c:pt idx="0">
                  <c:v>104</c:v>
                </c:pt>
                <c:pt idx="1">
                  <c:v>104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DAE-4ECF-9AFD-4510D8B35FC7}"/>
            </c:ext>
          </c:extLst>
        </c:ser>
        <c:ser>
          <c:idx val="3"/>
          <c:order val="3"/>
          <c:tx>
            <c:v>Min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val>
            <c:numRef>
              <c:f>DISKBSIZE!$B$16:$R$16</c:f>
              <c:numCache>
                <c:formatCode>0.0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8DAE-4ECF-9AFD-4510D8B35F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6674559"/>
        <c:axId val="586673727"/>
      </c:lineChart>
      <c:catAx>
        <c:axId val="5866807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586673311"/>
        <c:crosses val="autoZero"/>
        <c:auto val="1"/>
        <c:lblAlgn val="ctr"/>
        <c:lblOffset val="100"/>
        <c:tickLblSkip val="1"/>
        <c:noMultiLvlLbl val="0"/>
      </c:catAx>
      <c:valAx>
        <c:axId val="586673311"/>
        <c:scaling>
          <c:orientation val="minMax"/>
          <c:max val="105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Avg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586680799"/>
        <c:crosses val="autoZero"/>
        <c:crossBetween val="between"/>
      </c:valAx>
      <c:valAx>
        <c:axId val="586673727"/>
        <c:scaling>
          <c:orientation val="minMax"/>
          <c:max val="105"/>
          <c:min val="0"/>
        </c:scaling>
        <c:delete val="0"/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Min/Max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586674559"/>
        <c:crosses val="max"/>
        <c:crossBetween val="between"/>
      </c:valAx>
      <c:catAx>
        <c:axId val="586674559"/>
        <c:scaling>
          <c:orientation val="minMax"/>
        </c:scaling>
        <c:delete val="1"/>
        <c:axPos val="b"/>
        <c:majorTickMark val="out"/>
        <c:minorTickMark val="none"/>
        <c:tickLblPos val="nextTo"/>
        <c:crossAx val="586673727"/>
        <c:auto val="1"/>
        <c:lblAlgn val="ctr"/>
        <c:lblOffset val="100"/>
        <c:noMultiLvlLbl val="0"/>
      </c:catAx>
    </c:plotArea>
    <c:legend>
      <c:legendPos val="t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Disk Block Size css-xcat4  2/23/2023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DISKBSIZE!$B$1</c:f>
              <c:strCache>
                <c:ptCount val="1"/>
                <c:pt idx="0">
                  <c:v>vda</c:v>
                </c:pt>
              </c:strCache>
            </c:strRef>
          </c:tx>
          <c:marker>
            <c:symbol val="none"/>
          </c:marker>
          <c:cat>
            <c:numRef>
              <c:f>DISKBSIZE!$A$2:$A$11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DISKBSIZE!$B$2:$B$11</c:f>
              <c:numCache>
                <c:formatCode>General</c:formatCode>
                <c:ptCount val="10"/>
                <c:pt idx="0">
                  <c:v>0</c:v>
                </c:pt>
                <c:pt idx="1">
                  <c:v>4.4000000000000004</c:v>
                </c:pt>
                <c:pt idx="2">
                  <c:v>4</c:v>
                </c:pt>
                <c:pt idx="3">
                  <c:v>0</c:v>
                </c:pt>
                <c:pt idx="4">
                  <c:v>104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67F-454F-9C1A-984CBE2CAD83}"/>
            </c:ext>
          </c:extLst>
        </c:ser>
        <c:ser>
          <c:idx val="1"/>
          <c:order val="1"/>
          <c:tx>
            <c:strRef>
              <c:f>DISKBSIZE!$C$1</c:f>
              <c:strCache>
                <c:ptCount val="1"/>
                <c:pt idx="0">
                  <c:v>vda1</c:v>
                </c:pt>
              </c:strCache>
            </c:strRef>
          </c:tx>
          <c:marker>
            <c:symbol val="none"/>
          </c:marker>
          <c:cat>
            <c:numRef>
              <c:f>DISKBSIZE!$A$2:$A$11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DISKBSIZE!$C$2:$C$11</c:f>
              <c:numCache>
                <c:formatCode>General</c:formatCode>
                <c:ptCount val="10"/>
                <c:pt idx="0">
                  <c:v>0</c:v>
                </c:pt>
                <c:pt idx="1">
                  <c:v>4.4000000000000004</c:v>
                </c:pt>
                <c:pt idx="2">
                  <c:v>4</c:v>
                </c:pt>
                <c:pt idx="3">
                  <c:v>0</c:v>
                </c:pt>
                <c:pt idx="4">
                  <c:v>104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067F-454F-9C1A-984CBE2CAD83}"/>
            </c:ext>
          </c:extLst>
        </c:ser>
        <c:ser>
          <c:idx val="2"/>
          <c:order val="2"/>
          <c:tx>
            <c:strRef>
              <c:f>DISKBSIZE!$D$1</c:f>
              <c:strCache>
                <c:ptCount val="1"/>
                <c:pt idx="0">
                  <c:v>loop0</c:v>
                </c:pt>
              </c:strCache>
            </c:strRef>
          </c:tx>
          <c:marker>
            <c:symbol val="none"/>
          </c:marker>
          <c:cat>
            <c:numRef>
              <c:f>DISKBSIZE!$A$2:$A$11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DISKBSIZE!$D$2:$D$11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67F-454F-9C1A-984CBE2CAD83}"/>
            </c:ext>
          </c:extLst>
        </c:ser>
        <c:ser>
          <c:idx val="3"/>
          <c:order val="3"/>
          <c:tx>
            <c:strRef>
              <c:f>DISKBSIZE!$E$1</c:f>
              <c:strCache>
                <c:ptCount val="1"/>
                <c:pt idx="0">
                  <c:v>loop1</c:v>
                </c:pt>
              </c:strCache>
            </c:strRef>
          </c:tx>
          <c:marker>
            <c:symbol val="none"/>
          </c:marker>
          <c:cat>
            <c:numRef>
              <c:f>DISKBSIZE!$A$2:$A$11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DISKBSIZE!$E$2:$E$11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067F-454F-9C1A-984CBE2CAD83}"/>
            </c:ext>
          </c:extLst>
        </c:ser>
        <c:ser>
          <c:idx val="4"/>
          <c:order val="4"/>
          <c:tx>
            <c:strRef>
              <c:f>DISKBSIZE!$F$1</c:f>
              <c:strCache>
                <c:ptCount val="1"/>
                <c:pt idx="0">
                  <c:v>loop2</c:v>
                </c:pt>
              </c:strCache>
            </c:strRef>
          </c:tx>
          <c:marker>
            <c:symbol val="none"/>
          </c:marker>
          <c:cat>
            <c:numRef>
              <c:f>DISKBSIZE!$A$2:$A$11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DISKBSIZE!$F$2:$F$11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67F-454F-9C1A-984CBE2CAD83}"/>
            </c:ext>
          </c:extLst>
        </c:ser>
        <c:ser>
          <c:idx val="5"/>
          <c:order val="5"/>
          <c:tx>
            <c:strRef>
              <c:f>DISKBSIZE!$G$1</c:f>
              <c:strCache>
                <c:ptCount val="1"/>
                <c:pt idx="0">
                  <c:v>loop3</c:v>
                </c:pt>
              </c:strCache>
            </c:strRef>
          </c:tx>
          <c:marker>
            <c:symbol val="none"/>
          </c:marker>
          <c:cat>
            <c:numRef>
              <c:f>DISKBSIZE!$A$2:$A$11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DISKBSIZE!$G$2:$G$11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067F-454F-9C1A-984CBE2CAD83}"/>
            </c:ext>
          </c:extLst>
        </c:ser>
        <c:ser>
          <c:idx val="6"/>
          <c:order val="6"/>
          <c:tx>
            <c:strRef>
              <c:f>DISKBSIZE!$H$1</c:f>
              <c:strCache>
                <c:ptCount val="1"/>
                <c:pt idx="0">
                  <c:v>loop4</c:v>
                </c:pt>
              </c:strCache>
            </c:strRef>
          </c:tx>
          <c:marker>
            <c:symbol val="none"/>
          </c:marker>
          <c:cat>
            <c:numRef>
              <c:f>DISKBSIZE!$A$2:$A$11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DISKBSIZE!$H$2:$H$11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067F-454F-9C1A-984CBE2CAD83}"/>
            </c:ext>
          </c:extLst>
        </c:ser>
        <c:ser>
          <c:idx val="7"/>
          <c:order val="7"/>
          <c:tx>
            <c:strRef>
              <c:f>DISKBSIZE!$I$1</c:f>
              <c:strCache>
                <c:ptCount val="1"/>
                <c:pt idx="0">
                  <c:v>loop5</c:v>
                </c:pt>
              </c:strCache>
            </c:strRef>
          </c:tx>
          <c:marker>
            <c:symbol val="none"/>
          </c:marker>
          <c:cat>
            <c:numRef>
              <c:f>DISKBSIZE!$A$2:$A$11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DISKBSIZE!$I$2:$I$11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067F-454F-9C1A-984CBE2CAD83}"/>
            </c:ext>
          </c:extLst>
        </c:ser>
        <c:ser>
          <c:idx val="8"/>
          <c:order val="8"/>
          <c:tx>
            <c:strRef>
              <c:f>DISKBSIZE!$J$1</c:f>
              <c:strCache>
                <c:ptCount val="1"/>
                <c:pt idx="0">
                  <c:v>loop6</c:v>
                </c:pt>
              </c:strCache>
            </c:strRef>
          </c:tx>
          <c:marker>
            <c:symbol val="none"/>
          </c:marker>
          <c:cat>
            <c:numRef>
              <c:f>DISKBSIZE!$A$2:$A$11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DISKBSIZE!$J$2:$J$11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067F-454F-9C1A-984CBE2CAD83}"/>
            </c:ext>
          </c:extLst>
        </c:ser>
        <c:ser>
          <c:idx val="9"/>
          <c:order val="9"/>
          <c:tx>
            <c:strRef>
              <c:f>DISKBSIZE!$K$1</c:f>
              <c:strCache>
                <c:ptCount val="1"/>
                <c:pt idx="0">
                  <c:v>loop7</c:v>
                </c:pt>
              </c:strCache>
            </c:strRef>
          </c:tx>
          <c:marker>
            <c:symbol val="none"/>
          </c:marker>
          <c:cat>
            <c:numRef>
              <c:f>DISKBSIZE!$A$2:$A$11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DISKBSIZE!$K$2:$K$11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067F-454F-9C1A-984CBE2CAD83}"/>
            </c:ext>
          </c:extLst>
        </c:ser>
        <c:ser>
          <c:idx val="10"/>
          <c:order val="10"/>
          <c:tx>
            <c:strRef>
              <c:f>DISKBSIZE!$L$1</c:f>
              <c:strCache>
                <c:ptCount val="1"/>
                <c:pt idx="0">
                  <c:v>vda14</c:v>
                </c:pt>
              </c:strCache>
            </c:strRef>
          </c:tx>
          <c:marker>
            <c:symbol val="none"/>
          </c:marker>
          <c:cat>
            <c:numRef>
              <c:f>DISKBSIZE!$A$2:$A$11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DISKBSIZE!$L$2:$L$11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067F-454F-9C1A-984CBE2CAD83}"/>
            </c:ext>
          </c:extLst>
        </c:ser>
        <c:ser>
          <c:idx val="11"/>
          <c:order val="11"/>
          <c:tx>
            <c:strRef>
              <c:f>DISKBSIZE!$M$1</c:f>
              <c:strCache>
                <c:ptCount val="1"/>
                <c:pt idx="0">
                  <c:v>vda15</c:v>
                </c:pt>
              </c:strCache>
            </c:strRef>
          </c:tx>
          <c:marker>
            <c:symbol val="none"/>
          </c:marker>
          <c:cat>
            <c:numRef>
              <c:f>DISKBSIZE!$A$2:$A$11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DISKBSIZE!$M$2:$M$11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067F-454F-9C1A-984CBE2CAD83}"/>
            </c:ext>
          </c:extLst>
        </c:ser>
        <c:ser>
          <c:idx val="12"/>
          <c:order val="12"/>
          <c:tx>
            <c:strRef>
              <c:f>DISKBSIZE!$N$1</c:f>
              <c:strCache>
                <c:ptCount val="1"/>
                <c:pt idx="0">
                  <c:v>vdb</c:v>
                </c:pt>
              </c:strCache>
            </c:strRef>
          </c:tx>
          <c:marker>
            <c:symbol val="none"/>
          </c:marker>
          <c:cat>
            <c:numRef>
              <c:f>DISKBSIZE!$A$2:$A$11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DISKBSIZE!$N$2:$N$11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067F-454F-9C1A-984CBE2CAD83}"/>
            </c:ext>
          </c:extLst>
        </c:ser>
        <c:ser>
          <c:idx val="13"/>
          <c:order val="13"/>
          <c:tx>
            <c:strRef>
              <c:f>DISKBSIZE!$O$1</c:f>
              <c:strCache>
                <c:ptCount val="1"/>
                <c:pt idx="0">
                  <c:v>loop8</c:v>
                </c:pt>
              </c:strCache>
            </c:strRef>
          </c:tx>
          <c:marker>
            <c:symbol val="none"/>
          </c:marker>
          <c:cat>
            <c:numRef>
              <c:f>DISKBSIZE!$A$2:$A$11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DISKBSIZE!$O$2:$O$11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067F-454F-9C1A-984CBE2CAD83}"/>
            </c:ext>
          </c:extLst>
        </c:ser>
        <c:ser>
          <c:idx val="14"/>
          <c:order val="14"/>
          <c:tx>
            <c:strRef>
              <c:f>DISKBSIZE!$P$1</c:f>
              <c:strCache>
                <c:ptCount val="1"/>
                <c:pt idx="0">
                  <c:v>loop9</c:v>
                </c:pt>
              </c:strCache>
            </c:strRef>
          </c:tx>
          <c:marker>
            <c:symbol val="none"/>
          </c:marker>
          <c:cat>
            <c:numRef>
              <c:f>DISKBSIZE!$A$2:$A$11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DISKBSIZE!$P$2:$P$11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067F-454F-9C1A-984CBE2CAD83}"/>
            </c:ext>
          </c:extLst>
        </c:ser>
        <c:ser>
          <c:idx val="15"/>
          <c:order val="15"/>
          <c:tx>
            <c:strRef>
              <c:f>DISKBSIZE!$Q$1</c:f>
              <c:strCache>
                <c:ptCount val="1"/>
                <c:pt idx="0">
                  <c:v>loop10</c:v>
                </c:pt>
              </c:strCache>
            </c:strRef>
          </c:tx>
          <c:marker>
            <c:symbol val="none"/>
          </c:marker>
          <c:cat>
            <c:numRef>
              <c:f>DISKBSIZE!$A$2:$A$11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DISKBSIZE!$Q$2:$Q$11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067F-454F-9C1A-984CBE2CAD83}"/>
            </c:ext>
          </c:extLst>
        </c:ser>
        <c:ser>
          <c:idx val="16"/>
          <c:order val="16"/>
          <c:tx>
            <c:strRef>
              <c:f>DISKBSIZE!$R$1</c:f>
              <c:strCache>
                <c:ptCount val="1"/>
                <c:pt idx="0">
                  <c:v>loop11</c:v>
                </c:pt>
              </c:strCache>
            </c:strRef>
          </c:tx>
          <c:marker>
            <c:symbol val="none"/>
          </c:marker>
          <c:cat>
            <c:numRef>
              <c:f>DISKBSIZE!$A$2:$A$11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DISKBSIZE!$R$2:$R$11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067F-454F-9C1A-984CBE2CAD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6665823"/>
        <c:axId val="586674975"/>
      </c:lineChart>
      <c:catAx>
        <c:axId val="586665823"/>
        <c:scaling>
          <c:orientation val="minMax"/>
        </c:scaling>
        <c:delete val="0"/>
        <c:axPos val="b"/>
        <c:numFmt formatCode="hh:mm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586674975"/>
        <c:crosses val="autoZero"/>
        <c:auto val="0"/>
        <c:lblAlgn val="ctr"/>
        <c:lblOffset val="100"/>
        <c:noMultiLvlLbl val="0"/>
      </c:catAx>
      <c:valAx>
        <c:axId val="586674975"/>
        <c:scaling>
          <c:orientation val="minMax"/>
          <c:min val="0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586665823"/>
        <c:crosses val="autoZero"/>
        <c:crossBetween val="midCat"/>
      </c:valAx>
    </c:plotArea>
    <c:legend>
      <c:legendPos val="t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Disk %Busy css-xcat4  2/23/2023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Avg.</c:v>
          </c:tx>
          <c:invertIfNegative val="0"/>
          <c:cat>
            <c:strRef>
              <c:f>DISKBUSY!$B$1:$R$1</c:f>
              <c:strCache>
                <c:ptCount val="17"/>
                <c:pt idx="0">
                  <c:v>vda</c:v>
                </c:pt>
                <c:pt idx="1">
                  <c:v>vda1</c:v>
                </c:pt>
                <c:pt idx="2">
                  <c:v>loop0</c:v>
                </c:pt>
                <c:pt idx="3">
                  <c:v>loop1</c:v>
                </c:pt>
                <c:pt idx="4">
                  <c:v>loop2</c:v>
                </c:pt>
                <c:pt idx="5">
                  <c:v>loop3</c:v>
                </c:pt>
                <c:pt idx="6">
                  <c:v>loop4</c:v>
                </c:pt>
                <c:pt idx="7">
                  <c:v>loop5</c:v>
                </c:pt>
                <c:pt idx="8">
                  <c:v>loop6</c:v>
                </c:pt>
                <c:pt idx="9">
                  <c:v>loop7</c:v>
                </c:pt>
                <c:pt idx="10">
                  <c:v>vda14</c:v>
                </c:pt>
                <c:pt idx="11">
                  <c:v>vda15</c:v>
                </c:pt>
                <c:pt idx="12">
                  <c:v>vdb</c:v>
                </c:pt>
                <c:pt idx="13">
                  <c:v>loop8</c:v>
                </c:pt>
                <c:pt idx="14">
                  <c:v>loop9</c:v>
                </c:pt>
                <c:pt idx="15">
                  <c:v>loop10</c:v>
                </c:pt>
                <c:pt idx="16">
                  <c:v>loop11</c:v>
                </c:pt>
              </c:strCache>
            </c:strRef>
          </c:cat>
          <c:val>
            <c:numRef>
              <c:f>DISKBUSY!$B$13:$R$13</c:f>
              <c:numCache>
                <c:formatCode>0.0</c:formatCode>
                <c:ptCount val="17"/>
                <c:pt idx="0">
                  <c:v>9.7900000000000009</c:v>
                </c:pt>
                <c:pt idx="1">
                  <c:v>9.7900000000000009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6FB-4B60-AFB5-994B95D6C78D}"/>
            </c:ext>
          </c:extLst>
        </c:ser>
        <c:ser>
          <c:idx val="1"/>
          <c:order val="1"/>
          <c:tx>
            <c:v>WAvg.</c:v>
          </c:tx>
          <c:invertIfNegative val="0"/>
          <c:val>
            <c:numRef>
              <c:f>DISKBUSY!$B$14:$R$14</c:f>
              <c:numCache>
                <c:formatCode>0.0</c:formatCode>
                <c:ptCount val="17"/>
                <c:pt idx="0">
                  <c:v>61.033391215526045</c:v>
                </c:pt>
                <c:pt idx="1">
                  <c:v>61.033391215526045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6FB-4B60-AFB5-994B95D6C7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86677887"/>
        <c:axId val="586679551"/>
      </c:barChart>
      <c:lineChart>
        <c:grouping val="standard"/>
        <c:varyColors val="0"/>
        <c:ser>
          <c:idx val="2"/>
          <c:order val="2"/>
          <c:tx>
            <c:v>Max</c:v>
          </c:tx>
          <c:spPr>
            <a:solidFill>
              <a:srgbClr val="008000"/>
            </a:solidFill>
            <a:ln w="25400">
              <a:solidFill>
                <a:srgbClr val="008000"/>
              </a:solidFill>
              <a:prstDash val="solid"/>
            </a:ln>
          </c:spPr>
          <c:marker>
            <c:symbol val="none"/>
          </c:marker>
          <c:val>
            <c:numRef>
              <c:f>DISKBUSY!$B$15:$R$15</c:f>
              <c:numCache>
                <c:formatCode>0.0</c:formatCode>
                <c:ptCount val="17"/>
                <c:pt idx="0">
                  <c:v>81.900000000000006</c:v>
                </c:pt>
                <c:pt idx="1">
                  <c:v>81.900000000000006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6FB-4B60-AFB5-994B95D6C78D}"/>
            </c:ext>
          </c:extLst>
        </c:ser>
        <c:ser>
          <c:idx val="3"/>
          <c:order val="3"/>
          <c:tx>
            <c:v>Min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val>
            <c:numRef>
              <c:f>DISKBUSY!$B$16:$R$16</c:f>
              <c:numCache>
                <c:formatCode>0.0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A6FB-4B60-AFB5-994B95D6C7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6683295"/>
        <c:axId val="586662495"/>
      </c:lineChart>
      <c:catAx>
        <c:axId val="58667788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586679551"/>
        <c:crosses val="autoZero"/>
        <c:auto val="1"/>
        <c:lblAlgn val="ctr"/>
        <c:lblOffset val="100"/>
        <c:tickLblSkip val="1"/>
        <c:noMultiLvlLbl val="0"/>
      </c:catAx>
      <c:valAx>
        <c:axId val="586679551"/>
        <c:scaling>
          <c:orientation val="minMax"/>
          <c:max val="82.9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Avg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586677887"/>
        <c:crosses val="autoZero"/>
        <c:crossBetween val="between"/>
      </c:valAx>
      <c:valAx>
        <c:axId val="586662495"/>
        <c:scaling>
          <c:orientation val="minMax"/>
          <c:max val="82.9"/>
          <c:min val="0"/>
        </c:scaling>
        <c:delete val="0"/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Min/Max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586683295"/>
        <c:crosses val="max"/>
        <c:crossBetween val="between"/>
      </c:valAx>
      <c:catAx>
        <c:axId val="586683295"/>
        <c:scaling>
          <c:orientation val="minMax"/>
        </c:scaling>
        <c:delete val="1"/>
        <c:axPos val="b"/>
        <c:majorTickMark val="out"/>
        <c:minorTickMark val="none"/>
        <c:tickLblPos val="nextTo"/>
        <c:crossAx val="586662495"/>
        <c:auto val="1"/>
        <c:lblAlgn val="ctr"/>
        <c:lblOffset val="100"/>
        <c:noMultiLvlLbl val="0"/>
      </c:catAx>
    </c:plotArea>
    <c:legend>
      <c:legendPos val="t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Disk %Busy css-xcat4  2/23/2023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DISKBUSY!$B$1</c:f>
              <c:strCache>
                <c:ptCount val="1"/>
                <c:pt idx="0">
                  <c:v>vda</c:v>
                </c:pt>
              </c:strCache>
            </c:strRef>
          </c:tx>
          <c:marker>
            <c:symbol val="none"/>
          </c:marker>
          <c:cat>
            <c:numRef>
              <c:f>DISKBUSY!$A$2:$A$11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DISKBUSY!$B$2:$B$11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81.900000000000006</c:v>
                </c:pt>
                <c:pt idx="3">
                  <c:v>0</c:v>
                </c:pt>
                <c:pt idx="4">
                  <c:v>15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4FE-4324-9830-93D95B246266}"/>
            </c:ext>
          </c:extLst>
        </c:ser>
        <c:ser>
          <c:idx val="1"/>
          <c:order val="1"/>
          <c:tx>
            <c:strRef>
              <c:f>DISKBUSY!$C$1</c:f>
              <c:strCache>
                <c:ptCount val="1"/>
                <c:pt idx="0">
                  <c:v>vda1</c:v>
                </c:pt>
              </c:strCache>
            </c:strRef>
          </c:tx>
          <c:marker>
            <c:symbol val="none"/>
          </c:marker>
          <c:cat>
            <c:numRef>
              <c:f>DISKBUSY!$A$2:$A$11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DISKBUSY!$C$2:$C$11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81.900000000000006</c:v>
                </c:pt>
                <c:pt idx="3">
                  <c:v>0</c:v>
                </c:pt>
                <c:pt idx="4">
                  <c:v>15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34FE-4324-9830-93D95B246266}"/>
            </c:ext>
          </c:extLst>
        </c:ser>
        <c:ser>
          <c:idx val="2"/>
          <c:order val="2"/>
          <c:tx>
            <c:strRef>
              <c:f>DISKBUSY!$D$1</c:f>
              <c:strCache>
                <c:ptCount val="1"/>
                <c:pt idx="0">
                  <c:v>loop0</c:v>
                </c:pt>
              </c:strCache>
            </c:strRef>
          </c:tx>
          <c:marker>
            <c:symbol val="none"/>
          </c:marker>
          <c:cat>
            <c:numRef>
              <c:f>DISKBUSY!$A$2:$A$11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DISKBUSY!$D$2:$D$11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4FE-4324-9830-93D95B246266}"/>
            </c:ext>
          </c:extLst>
        </c:ser>
        <c:ser>
          <c:idx val="3"/>
          <c:order val="3"/>
          <c:tx>
            <c:strRef>
              <c:f>DISKBUSY!$E$1</c:f>
              <c:strCache>
                <c:ptCount val="1"/>
                <c:pt idx="0">
                  <c:v>loop1</c:v>
                </c:pt>
              </c:strCache>
            </c:strRef>
          </c:tx>
          <c:marker>
            <c:symbol val="none"/>
          </c:marker>
          <c:cat>
            <c:numRef>
              <c:f>DISKBUSY!$A$2:$A$11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DISKBUSY!$E$2:$E$11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34FE-4324-9830-93D95B246266}"/>
            </c:ext>
          </c:extLst>
        </c:ser>
        <c:ser>
          <c:idx val="4"/>
          <c:order val="4"/>
          <c:tx>
            <c:strRef>
              <c:f>DISKBUSY!$F$1</c:f>
              <c:strCache>
                <c:ptCount val="1"/>
                <c:pt idx="0">
                  <c:v>loop2</c:v>
                </c:pt>
              </c:strCache>
            </c:strRef>
          </c:tx>
          <c:marker>
            <c:symbol val="none"/>
          </c:marker>
          <c:cat>
            <c:numRef>
              <c:f>DISKBUSY!$A$2:$A$11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DISKBUSY!$F$2:$F$11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4FE-4324-9830-93D95B246266}"/>
            </c:ext>
          </c:extLst>
        </c:ser>
        <c:ser>
          <c:idx val="5"/>
          <c:order val="5"/>
          <c:tx>
            <c:strRef>
              <c:f>DISKBUSY!$G$1</c:f>
              <c:strCache>
                <c:ptCount val="1"/>
                <c:pt idx="0">
                  <c:v>loop3</c:v>
                </c:pt>
              </c:strCache>
            </c:strRef>
          </c:tx>
          <c:marker>
            <c:symbol val="none"/>
          </c:marker>
          <c:cat>
            <c:numRef>
              <c:f>DISKBUSY!$A$2:$A$11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DISKBUSY!$G$2:$G$11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34FE-4324-9830-93D95B246266}"/>
            </c:ext>
          </c:extLst>
        </c:ser>
        <c:ser>
          <c:idx val="6"/>
          <c:order val="6"/>
          <c:tx>
            <c:strRef>
              <c:f>DISKBUSY!$H$1</c:f>
              <c:strCache>
                <c:ptCount val="1"/>
                <c:pt idx="0">
                  <c:v>loop4</c:v>
                </c:pt>
              </c:strCache>
            </c:strRef>
          </c:tx>
          <c:marker>
            <c:symbol val="none"/>
          </c:marker>
          <c:cat>
            <c:numRef>
              <c:f>DISKBUSY!$A$2:$A$11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DISKBUSY!$H$2:$H$11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34FE-4324-9830-93D95B246266}"/>
            </c:ext>
          </c:extLst>
        </c:ser>
        <c:ser>
          <c:idx val="7"/>
          <c:order val="7"/>
          <c:tx>
            <c:strRef>
              <c:f>DISKBUSY!$I$1</c:f>
              <c:strCache>
                <c:ptCount val="1"/>
                <c:pt idx="0">
                  <c:v>loop5</c:v>
                </c:pt>
              </c:strCache>
            </c:strRef>
          </c:tx>
          <c:marker>
            <c:symbol val="none"/>
          </c:marker>
          <c:cat>
            <c:numRef>
              <c:f>DISKBUSY!$A$2:$A$11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DISKBUSY!$I$2:$I$11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34FE-4324-9830-93D95B246266}"/>
            </c:ext>
          </c:extLst>
        </c:ser>
        <c:ser>
          <c:idx val="8"/>
          <c:order val="8"/>
          <c:tx>
            <c:strRef>
              <c:f>DISKBUSY!$J$1</c:f>
              <c:strCache>
                <c:ptCount val="1"/>
                <c:pt idx="0">
                  <c:v>loop6</c:v>
                </c:pt>
              </c:strCache>
            </c:strRef>
          </c:tx>
          <c:marker>
            <c:symbol val="none"/>
          </c:marker>
          <c:cat>
            <c:numRef>
              <c:f>DISKBUSY!$A$2:$A$11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DISKBUSY!$J$2:$J$11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34FE-4324-9830-93D95B246266}"/>
            </c:ext>
          </c:extLst>
        </c:ser>
        <c:ser>
          <c:idx val="9"/>
          <c:order val="9"/>
          <c:tx>
            <c:strRef>
              <c:f>DISKBUSY!$K$1</c:f>
              <c:strCache>
                <c:ptCount val="1"/>
                <c:pt idx="0">
                  <c:v>loop7</c:v>
                </c:pt>
              </c:strCache>
            </c:strRef>
          </c:tx>
          <c:marker>
            <c:symbol val="none"/>
          </c:marker>
          <c:cat>
            <c:numRef>
              <c:f>DISKBUSY!$A$2:$A$11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DISKBUSY!$K$2:$K$11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34FE-4324-9830-93D95B246266}"/>
            </c:ext>
          </c:extLst>
        </c:ser>
        <c:ser>
          <c:idx val="10"/>
          <c:order val="10"/>
          <c:tx>
            <c:strRef>
              <c:f>DISKBUSY!$L$1</c:f>
              <c:strCache>
                <c:ptCount val="1"/>
                <c:pt idx="0">
                  <c:v>vda14</c:v>
                </c:pt>
              </c:strCache>
            </c:strRef>
          </c:tx>
          <c:marker>
            <c:symbol val="none"/>
          </c:marker>
          <c:cat>
            <c:numRef>
              <c:f>DISKBUSY!$A$2:$A$11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DISKBUSY!$L$2:$L$11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34FE-4324-9830-93D95B246266}"/>
            </c:ext>
          </c:extLst>
        </c:ser>
        <c:ser>
          <c:idx val="11"/>
          <c:order val="11"/>
          <c:tx>
            <c:strRef>
              <c:f>DISKBUSY!$M$1</c:f>
              <c:strCache>
                <c:ptCount val="1"/>
                <c:pt idx="0">
                  <c:v>vda15</c:v>
                </c:pt>
              </c:strCache>
            </c:strRef>
          </c:tx>
          <c:marker>
            <c:symbol val="none"/>
          </c:marker>
          <c:cat>
            <c:numRef>
              <c:f>DISKBUSY!$A$2:$A$11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DISKBUSY!$M$2:$M$11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34FE-4324-9830-93D95B246266}"/>
            </c:ext>
          </c:extLst>
        </c:ser>
        <c:ser>
          <c:idx val="12"/>
          <c:order val="12"/>
          <c:tx>
            <c:strRef>
              <c:f>DISKBUSY!$N$1</c:f>
              <c:strCache>
                <c:ptCount val="1"/>
                <c:pt idx="0">
                  <c:v>vdb</c:v>
                </c:pt>
              </c:strCache>
            </c:strRef>
          </c:tx>
          <c:marker>
            <c:symbol val="none"/>
          </c:marker>
          <c:cat>
            <c:numRef>
              <c:f>DISKBUSY!$A$2:$A$11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DISKBUSY!$N$2:$N$11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34FE-4324-9830-93D95B246266}"/>
            </c:ext>
          </c:extLst>
        </c:ser>
        <c:ser>
          <c:idx val="13"/>
          <c:order val="13"/>
          <c:tx>
            <c:strRef>
              <c:f>DISKBUSY!$O$1</c:f>
              <c:strCache>
                <c:ptCount val="1"/>
                <c:pt idx="0">
                  <c:v>loop8</c:v>
                </c:pt>
              </c:strCache>
            </c:strRef>
          </c:tx>
          <c:marker>
            <c:symbol val="none"/>
          </c:marker>
          <c:cat>
            <c:numRef>
              <c:f>DISKBUSY!$A$2:$A$11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DISKBUSY!$O$2:$O$11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34FE-4324-9830-93D95B246266}"/>
            </c:ext>
          </c:extLst>
        </c:ser>
        <c:ser>
          <c:idx val="14"/>
          <c:order val="14"/>
          <c:tx>
            <c:strRef>
              <c:f>DISKBUSY!$P$1</c:f>
              <c:strCache>
                <c:ptCount val="1"/>
                <c:pt idx="0">
                  <c:v>loop9</c:v>
                </c:pt>
              </c:strCache>
            </c:strRef>
          </c:tx>
          <c:marker>
            <c:symbol val="none"/>
          </c:marker>
          <c:cat>
            <c:numRef>
              <c:f>DISKBUSY!$A$2:$A$11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DISKBUSY!$P$2:$P$11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34FE-4324-9830-93D95B246266}"/>
            </c:ext>
          </c:extLst>
        </c:ser>
        <c:ser>
          <c:idx val="15"/>
          <c:order val="15"/>
          <c:tx>
            <c:strRef>
              <c:f>DISKBUSY!$Q$1</c:f>
              <c:strCache>
                <c:ptCount val="1"/>
                <c:pt idx="0">
                  <c:v>loop10</c:v>
                </c:pt>
              </c:strCache>
            </c:strRef>
          </c:tx>
          <c:marker>
            <c:symbol val="none"/>
          </c:marker>
          <c:cat>
            <c:numRef>
              <c:f>DISKBUSY!$A$2:$A$11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DISKBUSY!$Q$2:$Q$11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34FE-4324-9830-93D95B246266}"/>
            </c:ext>
          </c:extLst>
        </c:ser>
        <c:ser>
          <c:idx val="16"/>
          <c:order val="16"/>
          <c:tx>
            <c:strRef>
              <c:f>DISKBUSY!$R$1</c:f>
              <c:strCache>
                <c:ptCount val="1"/>
                <c:pt idx="0">
                  <c:v>loop11</c:v>
                </c:pt>
              </c:strCache>
            </c:strRef>
          </c:tx>
          <c:marker>
            <c:symbol val="none"/>
          </c:marker>
          <c:cat>
            <c:numRef>
              <c:f>DISKBUSY!$A$2:$A$11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DISKBUSY!$R$2:$R$11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34FE-4324-9830-93D95B2462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6658751"/>
        <c:axId val="586682463"/>
      </c:lineChart>
      <c:catAx>
        <c:axId val="586658751"/>
        <c:scaling>
          <c:orientation val="minMax"/>
        </c:scaling>
        <c:delete val="0"/>
        <c:axPos val="b"/>
        <c:numFmt formatCode="hh:mm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586682463"/>
        <c:crosses val="autoZero"/>
        <c:auto val="0"/>
        <c:lblAlgn val="ctr"/>
        <c:lblOffset val="100"/>
        <c:noMultiLvlLbl val="0"/>
      </c:catAx>
      <c:valAx>
        <c:axId val="586682463"/>
        <c:scaling>
          <c:orientation val="minMax"/>
          <c:min val="0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586658751"/>
        <c:crosses val="autoZero"/>
        <c:crossBetween val="midCat"/>
      </c:valAx>
    </c:plotArea>
    <c:legend>
      <c:legendPos val="t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Disk Read KB/s css-xcat4  2/23/2023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Avg.</c:v>
          </c:tx>
          <c:invertIfNegative val="0"/>
          <c:cat>
            <c:strRef>
              <c:f>DISKREAD!$B$1:$R$1</c:f>
              <c:strCache>
                <c:ptCount val="17"/>
                <c:pt idx="0">
                  <c:v>loop0</c:v>
                </c:pt>
                <c:pt idx="1">
                  <c:v>loop1</c:v>
                </c:pt>
                <c:pt idx="2">
                  <c:v>loop2</c:v>
                </c:pt>
                <c:pt idx="3">
                  <c:v>loop3</c:v>
                </c:pt>
                <c:pt idx="4">
                  <c:v>loop4</c:v>
                </c:pt>
                <c:pt idx="5">
                  <c:v>loop5</c:v>
                </c:pt>
                <c:pt idx="6">
                  <c:v>loop6</c:v>
                </c:pt>
                <c:pt idx="7">
                  <c:v>loop7</c:v>
                </c:pt>
                <c:pt idx="8">
                  <c:v>vda</c:v>
                </c:pt>
                <c:pt idx="9">
                  <c:v>vda1</c:v>
                </c:pt>
                <c:pt idx="10">
                  <c:v>vda14</c:v>
                </c:pt>
                <c:pt idx="11">
                  <c:v>vda15</c:v>
                </c:pt>
                <c:pt idx="12">
                  <c:v>vdb</c:v>
                </c:pt>
                <c:pt idx="13">
                  <c:v>loop8</c:v>
                </c:pt>
                <c:pt idx="14">
                  <c:v>loop9</c:v>
                </c:pt>
                <c:pt idx="15">
                  <c:v>loop10</c:v>
                </c:pt>
                <c:pt idx="16">
                  <c:v>loop11</c:v>
                </c:pt>
              </c:strCache>
            </c:strRef>
          </c:cat>
          <c:val>
            <c:numRef>
              <c:f>DISKREAD!$B$13:$R$13</c:f>
              <c:numCache>
                <c:formatCode>0.0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EDC-498A-B62E-655EECA4FA81}"/>
            </c:ext>
          </c:extLst>
        </c:ser>
        <c:ser>
          <c:idx val="1"/>
          <c:order val="1"/>
          <c:tx>
            <c:v>WAvg.</c:v>
          </c:tx>
          <c:invertIfNegative val="0"/>
          <c:val>
            <c:numRef>
              <c:f>DISKREAD!$B$14:$R$14</c:f>
              <c:numCache>
                <c:formatCode>0.0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EDC-498A-B62E-655EECA4FA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86657919"/>
        <c:axId val="586658335"/>
      </c:barChart>
      <c:lineChart>
        <c:grouping val="standard"/>
        <c:varyColors val="0"/>
        <c:ser>
          <c:idx val="2"/>
          <c:order val="2"/>
          <c:tx>
            <c:v>Max</c:v>
          </c:tx>
          <c:spPr>
            <a:solidFill>
              <a:srgbClr val="008000"/>
            </a:solidFill>
            <a:ln w="25400">
              <a:solidFill>
                <a:srgbClr val="008000"/>
              </a:solidFill>
              <a:prstDash val="solid"/>
            </a:ln>
          </c:spPr>
          <c:marker>
            <c:symbol val="none"/>
          </c:marker>
          <c:val>
            <c:numRef>
              <c:f>DISKREAD!$B$15:$R$15</c:f>
              <c:numCache>
                <c:formatCode>0.0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EDC-498A-B62E-655EECA4FA81}"/>
            </c:ext>
          </c:extLst>
        </c:ser>
        <c:ser>
          <c:idx val="3"/>
          <c:order val="3"/>
          <c:tx>
            <c:v>Min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val>
            <c:numRef>
              <c:f>DISKREAD!$B$16:$R$16</c:f>
              <c:numCache>
                <c:formatCode>0.0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4EDC-498A-B62E-655EECA4FA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6708255"/>
        <c:axId val="586697439"/>
      </c:lineChart>
      <c:catAx>
        <c:axId val="58665791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586658335"/>
        <c:crosses val="autoZero"/>
        <c:auto val="1"/>
        <c:lblAlgn val="ctr"/>
        <c:lblOffset val="100"/>
        <c:tickLblSkip val="1"/>
        <c:noMultiLvlLbl val="0"/>
      </c:catAx>
      <c:valAx>
        <c:axId val="586658335"/>
        <c:scaling>
          <c:orientation val="minMax"/>
          <c:max val="1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Avg</a:t>
                </a:r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crossAx val="586657919"/>
        <c:crosses val="autoZero"/>
        <c:crossBetween val="between"/>
      </c:valAx>
      <c:valAx>
        <c:axId val="586697439"/>
        <c:scaling>
          <c:orientation val="minMax"/>
          <c:max val="1"/>
          <c:min val="0"/>
        </c:scaling>
        <c:delete val="0"/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Min/Max</a:t>
                </a:r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crossAx val="586708255"/>
        <c:crosses val="max"/>
        <c:crossBetween val="between"/>
      </c:valAx>
      <c:catAx>
        <c:axId val="586708255"/>
        <c:scaling>
          <c:orientation val="minMax"/>
        </c:scaling>
        <c:delete val="1"/>
        <c:axPos val="b"/>
        <c:majorTickMark val="out"/>
        <c:minorTickMark val="none"/>
        <c:tickLblPos val="nextTo"/>
        <c:crossAx val="586697439"/>
        <c:auto val="1"/>
        <c:lblAlgn val="ctr"/>
        <c:lblOffset val="100"/>
        <c:noMultiLvlLbl val="0"/>
      </c:catAx>
    </c:plotArea>
    <c:legend>
      <c:legendPos val="t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Disk Read KB/s css-xcat4  2/23/2023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DISKREAD!$B$1</c:f>
              <c:strCache>
                <c:ptCount val="1"/>
                <c:pt idx="0">
                  <c:v>loop0</c:v>
                </c:pt>
              </c:strCache>
            </c:strRef>
          </c:tx>
          <c:marker>
            <c:symbol val="none"/>
          </c:marker>
          <c:cat>
            <c:numRef>
              <c:f>DISKREAD!$A$2:$A$11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DISKREAD!$B$2:$B$11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BE0-43A2-A8C4-BAF72568FAB1}"/>
            </c:ext>
          </c:extLst>
        </c:ser>
        <c:ser>
          <c:idx val="1"/>
          <c:order val="1"/>
          <c:tx>
            <c:strRef>
              <c:f>DISKREAD!$C$1</c:f>
              <c:strCache>
                <c:ptCount val="1"/>
                <c:pt idx="0">
                  <c:v>loop1</c:v>
                </c:pt>
              </c:strCache>
            </c:strRef>
          </c:tx>
          <c:marker>
            <c:symbol val="none"/>
          </c:marker>
          <c:cat>
            <c:numRef>
              <c:f>DISKREAD!$A$2:$A$11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DISKREAD!$C$2:$C$11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1BE0-43A2-A8C4-BAF72568FAB1}"/>
            </c:ext>
          </c:extLst>
        </c:ser>
        <c:ser>
          <c:idx val="2"/>
          <c:order val="2"/>
          <c:tx>
            <c:strRef>
              <c:f>DISKREAD!$D$1</c:f>
              <c:strCache>
                <c:ptCount val="1"/>
                <c:pt idx="0">
                  <c:v>loop2</c:v>
                </c:pt>
              </c:strCache>
            </c:strRef>
          </c:tx>
          <c:marker>
            <c:symbol val="none"/>
          </c:marker>
          <c:cat>
            <c:numRef>
              <c:f>DISKREAD!$A$2:$A$11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DISKREAD!$D$2:$D$11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BE0-43A2-A8C4-BAF72568FAB1}"/>
            </c:ext>
          </c:extLst>
        </c:ser>
        <c:ser>
          <c:idx val="3"/>
          <c:order val="3"/>
          <c:tx>
            <c:strRef>
              <c:f>DISKREAD!$E$1</c:f>
              <c:strCache>
                <c:ptCount val="1"/>
                <c:pt idx="0">
                  <c:v>loop3</c:v>
                </c:pt>
              </c:strCache>
            </c:strRef>
          </c:tx>
          <c:marker>
            <c:symbol val="none"/>
          </c:marker>
          <c:cat>
            <c:numRef>
              <c:f>DISKREAD!$A$2:$A$11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DISKREAD!$E$2:$E$11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1BE0-43A2-A8C4-BAF72568FAB1}"/>
            </c:ext>
          </c:extLst>
        </c:ser>
        <c:ser>
          <c:idx val="4"/>
          <c:order val="4"/>
          <c:tx>
            <c:strRef>
              <c:f>DISKREAD!$F$1</c:f>
              <c:strCache>
                <c:ptCount val="1"/>
                <c:pt idx="0">
                  <c:v>loop4</c:v>
                </c:pt>
              </c:strCache>
            </c:strRef>
          </c:tx>
          <c:marker>
            <c:symbol val="none"/>
          </c:marker>
          <c:cat>
            <c:numRef>
              <c:f>DISKREAD!$A$2:$A$11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DISKREAD!$F$2:$F$11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BE0-43A2-A8C4-BAF72568FAB1}"/>
            </c:ext>
          </c:extLst>
        </c:ser>
        <c:ser>
          <c:idx val="5"/>
          <c:order val="5"/>
          <c:tx>
            <c:strRef>
              <c:f>DISKREAD!$G$1</c:f>
              <c:strCache>
                <c:ptCount val="1"/>
                <c:pt idx="0">
                  <c:v>loop5</c:v>
                </c:pt>
              </c:strCache>
            </c:strRef>
          </c:tx>
          <c:marker>
            <c:symbol val="none"/>
          </c:marker>
          <c:cat>
            <c:numRef>
              <c:f>DISKREAD!$A$2:$A$11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DISKREAD!$G$2:$G$11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1BE0-43A2-A8C4-BAF72568FAB1}"/>
            </c:ext>
          </c:extLst>
        </c:ser>
        <c:ser>
          <c:idx val="6"/>
          <c:order val="6"/>
          <c:tx>
            <c:strRef>
              <c:f>DISKREAD!$H$1</c:f>
              <c:strCache>
                <c:ptCount val="1"/>
                <c:pt idx="0">
                  <c:v>loop6</c:v>
                </c:pt>
              </c:strCache>
            </c:strRef>
          </c:tx>
          <c:marker>
            <c:symbol val="none"/>
          </c:marker>
          <c:cat>
            <c:numRef>
              <c:f>DISKREAD!$A$2:$A$11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DISKREAD!$H$2:$H$11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1BE0-43A2-A8C4-BAF72568FAB1}"/>
            </c:ext>
          </c:extLst>
        </c:ser>
        <c:ser>
          <c:idx val="7"/>
          <c:order val="7"/>
          <c:tx>
            <c:strRef>
              <c:f>DISKREAD!$I$1</c:f>
              <c:strCache>
                <c:ptCount val="1"/>
                <c:pt idx="0">
                  <c:v>loop7</c:v>
                </c:pt>
              </c:strCache>
            </c:strRef>
          </c:tx>
          <c:marker>
            <c:symbol val="none"/>
          </c:marker>
          <c:cat>
            <c:numRef>
              <c:f>DISKREAD!$A$2:$A$11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DISKREAD!$I$2:$I$11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1BE0-43A2-A8C4-BAF72568FAB1}"/>
            </c:ext>
          </c:extLst>
        </c:ser>
        <c:ser>
          <c:idx val="8"/>
          <c:order val="8"/>
          <c:tx>
            <c:strRef>
              <c:f>DISKREAD!$J$1</c:f>
              <c:strCache>
                <c:ptCount val="1"/>
                <c:pt idx="0">
                  <c:v>vda</c:v>
                </c:pt>
              </c:strCache>
            </c:strRef>
          </c:tx>
          <c:marker>
            <c:symbol val="none"/>
          </c:marker>
          <c:cat>
            <c:numRef>
              <c:f>DISKREAD!$A$2:$A$11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DISKREAD!$J$2:$J$11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1BE0-43A2-A8C4-BAF72568FAB1}"/>
            </c:ext>
          </c:extLst>
        </c:ser>
        <c:ser>
          <c:idx val="9"/>
          <c:order val="9"/>
          <c:tx>
            <c:strRef>
              <c:f>DISKREAD!$K$1</c:f>
              <c:strCache>
                <c:ptCount val="1"/>
                <c:pt idx="0">
                  <c:v>vda1</c:v>
                </c:pt>
              </c:strCache>
            </c:strRef>
          </c:tx>
          <c:marker>
            <c:symbol val="none"/>
          </c:marker>
          <c:cat>
            <c:numRef>
              <c:f>DISKREAD!$A$2:$A$11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DISKREAD!$K$2:$K$11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1BE0-43A2-A8C4-BAF72568FAB1}"/>
            </c:ext>
          </c:extLst>
        </c:ser>
        <c:ser>
          <c:idx val="10"/>
          <c:order val="10"/>
          <c:tx>
            <c:strRef>
              <c:f>DISKREAD!$L$1</c:f>
              <c:strCache>
                <c:ptCount val="1"/>
                <c:pt idx="0">
                  <c:v>vda14</c:v>
                </c:pt>
              </c:strCache>
            </c:strRef>
          </c:tx>
          <c:marker>
            <c:symbol val="none"/>
          </c:marker>
          <c:cat>
            <c:numRef>
              <c:f>DISKREAD!$A$2:$A$11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DISKREAD!$L$2:$L$11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1BE0-43A2-A8C4-BAF72568FAB1}"/>
            </c:ext>
          </c:extLst>
        </c:ser>
        <c:ser>
          <c:idx val="11"/>
          <c:order val="11"/>
          <c:tx>
            <c:strRef>
              <c:f>DISKREAD!$M$1</c:f>
              <c:strCache>
                <c:ptCount val="1"/>
                <c:pt idx="0">
                  <c:v>vda15</c:v>
                </c:pt>
              </c:strCache>
            </c:strRef>
          </c:tx>
          <c:marker>
            <c:symbol val="none"/>
          </c:marker>
          <c:cat>
            <c:numRef>
              <c:f>DISKREAD!$A$2:$A$11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DISKREAD!$M$2:$M$11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1BE0-43A2-A8C4-BAF72568FAB1}"/>
            </c:ext>
          </c:extLst>
        </c:ser>
        <c:ser>
          <c:idx val="12"/>
          <c:order val="12"/>
          <c:tx>
            <c:strRef>
              <c:f>DISKREAD!$N$1</c:f>
              <c:strCache>
                <c:ptCount val="1"/>
                <c:pt idx="0">
                  <c:v>vdb</c:v>
                </c:pt>
              </c:strCache>
            </c:strRef>
          </c:tx>
          <c:marker>
            <c:symbol val="none"/>
          </c:marker>
          <c:cat>
            <c:numRef>
              <c:f>DISKREAD!$A$2:$A$11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DISKREAD!$N$2:$N$11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1BE0-43A2-A8C4-BAF72568FAB1}"/>
            </c:ext>
          </c:extLst>
        </c:ser>
        <c:ser>
          <c:idx val="13"/>
          <c:order val="13"/>
          <c:tx>
            <c:strRef>
              <c:f>DISKREAD!$O$1</c:f>
              <c:strCache>
                <c:ptCount val="1"/>
                <c:pt idx="0">
                  <c:v>loop8</c:v>
                </c:pt>
              </c:strCache>
            </c:strRef>
          </c:tx>
          <c:marker>
            <c:symbol val="none"/>
          </c:marker>
          <c:cat>
            <c:numRef>
              <c:f>DISKREAD!$A$2:$A$11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DISKREAD!$O$2:$O$11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1BE0-43A2-A8C4-BAF72568FAB1}"/>
            </c:ext>
          </c:extLst>
        </c:ser>
        <c:ser>
          <c:idx val="14"/>
          <c:order val="14"/>
          <c:tx>
            <c:strRef>
              <c:f>DISKREAD!$P$1</c:f>
              <c:strCache>
                <c:ptCount val="1"/>
                <c:pt idx="0">
                  <c:v>loop9</c:v>
                </c:pt>
              </c:strCache>
            </c:strRef>
          </c:tx>
          <c:marker>
            <c:symbol val="none"/>
          </c:marker>
          <c:cat>
            <c:numRef>
              <c:f>DISKREAD!$A$2:$A$11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DISKREAD!$P$2:$P$11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1BE0-43A2-A8C4-BAF72568FAB1}"/>
            </c:ext>
          </c:extLst>
        </c:ser>
        <c:ser>
          <c:idx val="15"/>
          <c:order val="15"/>
          <c:tx>
            <c:strRef>
              <c:f>DISKREAD!$Q$1</c:f>
              <c:strCache>
                <c:ptCount val="1"/>
                <c:pt idx="0">
                  <c:v>loop10</c:v>
                </c:pt>
              </c:strCache>
            </c:strRef>
          </c:tx>
          <c:marker>
            <c:symbol val="none"/>
          </c:marker>
          <c:cat>
            <c:numRef>
              <c:f>DISKREAD!$A$2:$A$11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DISKREAD!$Q$2:$Q$11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1BE0-43A2-A8C4-BAF72568FAB1}"/>
            </c:ext>
          </c:extLst>
        </c:ser>
        <c:ser>
          <c:idx val="16"/>
          <c:order val="16"/>
          <c:tx>
            <c:strRef>
              <c:f>DISKREAD!$R$1</c:f>
              <c:strCache>
                <c:ptCount val="1"/>
                <c:pt idx="0">
                  <c:v>loop11</c:v>
                </c:pt>
              </c:strCache>
            </c:strRef>
          </c:tx>
          <c:marker>
            <c:symbol val="none"/>
          </c:marker>
          <c:cat>
            <c:numRef>
              <c:f>DISKREAD!$A$2:$A$11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DISKREAD!$R$2:$R$11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1BE0-43A2-A8C4-BAF72568FA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6690783"/>
        <c:axId val="586697023"/>
      </c:lineChart>
      <c:catAx>
        <c:axId val="586690783"/>
        <c:scaling>
          <c:orientation val="minMax"/>
        </c:scaling>
        <c:delete val="0"/>
        <c:axPos val="b"/>
        <c:numFmt formatCode="hh:mm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586697023"/>
        <c:crosses val="autoZero"/>
        <c:auto val="0"/>
        <c:lblAlgn val="ctr"/>
        <c:lblOffset val="100"/>
        <c:noMultiLvlLbl val="0"/>
      </c:catAx>
      <c:valAx>
        <c:axId val="586697023"/>
        <c:scaling>
          <c:orientation val="minMax"/>
          <c:min val="0"/>
        </c:scaling>
        <c:delete val="0"/>
        <c:axPos val="l"/>
        <c:majorGridlines/>
        <c:numFmt formatCode="0.0" sourceLinked="0"/>
        <c:majorTickMark val="out"/>
        <c:minorTickMark val="none"/>
        <c:tickLblPos val="nextTo"/>
        <c:crossAx val="586690783"/>
        <c:crosses val="autoZero"/>
        <c:crossBetween val="midCat"/>
      </c:valAx>
    </c:plotArea>
    <c:legend>
      <c:legendPos val="t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Disk Write KB/s css-xcat4  2/23/2023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Avg.</c:v>
          </c:tx>
          <c:invertIfNegative val="0"/>
          <c:cat>
            <c:strRef>
              <c:f>DISKWRITE!$B$1:$R$1</c:f>
              <c:strCache>
                <c:ptCount val="17"/>
                <c:pt idx="0">
                  <c:v>vda</c:v>
                </c:pt>
                <c:pt idx="1">
                  <c:v>vda1</c:v>
                </c:pt>
                <c:pt idx="2">
                  <c:v>loop0</c:v>
                </c:pt>
                <c:pt idx="3">
                  <c:v>loop1</c:v>
                </c:pt>
                <c:pt idx="4">
                  <c:v>loop2</c:v>
                </c:pt>
                <c:pt idx="5">
                  <c:v>loop3</c:v>
                </c:pt>
                <c:pt idx="6">
                  <c:v>loop4</c:v>
                </c:pt>
                <c:pt idx="7">
                  <c:v>loop5</c:v>
                </c:pt>
                <c:pt idx="8">
                  <c:v>loop6</c:v>
                </c:pt>
                <c:pt idx="9">
                  <c:v>loop7</c:v>
                </c:pt>
                <c:pt idx="10">
                  <c:v>vda14</c:v>
                </c:pt>
                <c:pt idx="11">
                  <c:v>vda15</c:v>
                </c:pt>
                <c:pt idx="12">
                  <c:v>vdb</c:v>
                </c:pt>
                <c:pt idx="13">
                  <c:v>loop8</c:v>
                </c:pt>
                <c:pt idx="14">
                  <c:v>loop9</c:v>
                </c:pt>
                <c:pt idx="15">
                  <c:v>loop10</c:v>
                </c:pt>
                <c:pt idx="16">
                  <c:v>loop11</c:v>
                </c:pt>
              </c:strCache>
            </c:strRef>
          </c:cat>
          <c:val>
            <c:numRef>
              <c:f>DISKWRITE!$B$13:$R$13</c:f>
              <c:numCache>
                <c:formatCode>0.0</c:formatCode>
                <c:ptCount val="17"/>
                <c:pt idx="0">
                  <c:v>113.05</c:v>
                </c:pt>
                <c:pt idx="1">
                  <c:v>113.05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135-4DE7-BA12-C42BBF1A03AE}"/>
            </c:ext>
          </c:extLst>
        </c:ser>
        <c:ser>
          <c:idx val="1"/>
          <c:order val="1"/>
          <c:tx>
            <c:v>WAvg.</c:v>
          </c:tx>
          <c:invertIfNegative val="0"/>
          <c:val>
            <c:numRef>
              <c:f>DISKWRITE!$B$14:$R$14</c:f>
              <c:numCache>
                <c:formatCode>0.0</c:formatCode>
                <c:ptCount val="17"/>
                <c:pt idx="0">
                  <c:v>503.38832817337453</c:v>
                </c:pt>
                <c:pt idx="1">
                  <c:v>503.38832817337453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135-4DE7-BA12-C42BBF1A03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86684959"/>
        <c:axId val="586698687"/>
      </c:barChart>
      <c:lineChart>
        <c:grouping val="standard"/>
        <c:varyColors val="0"/>
        <c:ser>
          <c:idx val="2"/>
          <c:order val="2"/>
          <c:tx>
            <c:v>Max</c:v>
          </c:tx>
          <c:spPr>
            <a:solidFill>
              <a:srgbClr val="008000"/>
            </a:solidFill>
            <a:ln w="25400">
              <a:solidFill>
                <a:srgbClr val="008000"/>
              </a:solidFill>
              <a:prstDash val="solid"/>
            </a:ln>
          </c:spPr>
          <c:marker>
            <c:symbol val="none"/>
          </c:marker>
          <c:val>
            <c:numRef>
              <c:f>DISKWRITE!$B$15:$R$15</c:f>
              <c:numCache>
                <c:formatCode>0.0</c:formatCode>
                <c:ptCount val="17"/>
                <c:pt idx="0">
                  <c:v>799</c:v>
                </c:pt>
                <c:pt idx="1">
                  <c:v>799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135-4DE7-BA12-C42BBF1A03AE}"/>
            </c:ext>
          </c:extLst>
        </c:ser>
        <c:ser>
          <c:idx val="3"/>
          <c:order val="3"/>
          <c:tx>
            <c:v>Min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val>
            <c:numRef>
              <c:f>DISKWRITE!$B$16:$R$16</c:f>
              <c:numCache>
                <c:formatCode>0.0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4135-4DE7-BA12-C42BBF1A03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6704511"/>
        <c:axId val="586702431"/>
      </c:lineChart>
      <c:catAx>
        <c:axId val="58668495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586698687"/>
        <c:crosses val="autoZero"/>
        <c:auto val="1"/>
        <c:lblAlgn val="ctr"/>
        <c:lblOffset val="100"/>
        <c:tickLblSkip val="1"/>
        <c:noMultiLvlLbl val="0"/>
      </c:catAx>
      <c:valAx>
        <c:axId val="586698687"/>
        <c:scaling>
          <c:orientation val="minMax"/>
          <c:max val="80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Avg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586684959"/>
        <c:crosses val="autoZero"/>
        <c:crossBetween val="between"/>
      </c:valAx>
      <c:valAx>
        <c:axId val="586702431"/>
        <c:scaling>
          <c:orientation val="minMax"/>
          <c:max val="800"/>
          <c:min val="0"/>
        </c:scaling>
        <c:delete val="0"/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Min/Max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586704511"/>
        <c:crosses val="max"/>
        <c:crossBetween val="between"/>
      </c:valAx>
      <c:catAx>
        <c:axId val="586704511"/>
        <c:scaling>
          <c:orientation val="minMax"/>
        </c:scaling>
        <c:delete val="1"/>
        <c:axPos val="b"/>
        <c:majorTickMark val="out"/>
        <c:minorTickMark val="none"/>
        <c:tickLblPos val="nextTo"/>
        <c:crossAx val="586702431"/>
        <c:auto val="1"/>
        <c:lblAlgn val="ctr"/>
        <c:lblOffset val="100"/>
        <c:noMultiLvlLbl val="0"/>
      </c:catAx>
    </c:plotArea>
    <c:legend>
      <c:legendPos val="t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Disk Write KB/s css-xcat4  2/23/2023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DISKWRITE!$B$1</c:f>
              <c:strCache>
                <c:ptCount val="1"/>
                <c:pt idx="0">
                  <c:v>vda</c:v>
                </c:pt>
              </c:strCache>
            </c:strRef>
          </c:tx>
          <c:marker>
            <c:symbol val="none"/>
          </c:marker>
          <c:cat>
            <c:numRef>
              <c:f>DISKWRITE!$A$2:$A$11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DISKWRITE!$B$2:$B$11</c:f>
              <c:numCache>
                <c:formatCode>General</c:formatCode>
                <c:ptCount val="10"/>
                <c:pt idx="0">
                  <c:v>0</c:v>
                </c:pt>
                <c:pt idx="1">
                  <c:v>123.7</c:v>
                </c:pt>
                <c:pt idx="2">
                  <c:v>799</c:v>
                </c:pt>
                <c:pt idx="3">
                  <c:v>0</c:v>
                </c:pt>
                <c:pt idx="4">
                  <c:v>207.8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D9E-47A9-9833-EFB23CFEC9D2}"/>
            </c:ext>
          </c:extLst>
        </c:ser>
        <c:ser>
          <c:idx val="1"/>
          <c:order val="1"/>
          <c:tx>
            <c:strRef>
              <c:f>DISKWRITE!$C$1</c:f>
              <c:strCache>
                <c:ptCount val="1"/>
                <c:pt idx="0">
                  <c:v>vda1</c:v>
                </c:pt>
              </c:strCache>
            </c:strRef>
          </c:tx>
          <c:marker>
            <c:symbol val="none"/>
          </c:marker>
          <c:cat>
            <c:numRef>
              <c:f>DISKWRITE!$A$2:$A$11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DISKWRITE!$C$2:$C$11</c:f>
              <c:numCache>
                <c:formatCode>General</c:formatCode>
                <c:ptCount val="10"/>
                <c:pt idx="0">
                  <c:v>0</c:v>
                </c:pt>
                <c:pt idx="1">
                  <c:v>123.7</c:v>
                </c:pt>
                <c:pt idx="2">
                  <c:v>799</c:v>
                </c:pt>
                <c:pt idx="3">
                  <c:v>0</c:v>
                </c:pt>
                <c:pt idx="4">
                  <c:v>207.8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D9E-47A9-9833-EFB23CFEC9D2}"/>
            </c:ext>
          </c:extLst>
        </c:ser>
        <c:ser>
          <c:idx val="2"/>
          <c:order val="2"/>
          <c:tx>
            <c:strRef>
              <c:f>DISKWRITE!$D$1</c:f>
              <c:strCache>
                <c:ptCount val="1"/>
                <c:pt idx="0">
                  <c:v>loop0</c:v>
                </c:pt>
              </c:strCache>
            </c:strRef>
          </c:tx>
          <c:marker>
            <c:symbol val="none"/>
          </c:marker>
          <c:cat>
            <c:numRef>
              <c:f>DISKWRITE!$A$2:$A$11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DISKWRITE!$D$2:$D$11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D9E-47A9-9833-EFB23CFEC9D2}"/>
            </c:ext>
          </c:extLst>
        </c:ser>
        <c:ser>
          <c:idx val="3"/>
          <c:order val="3"/>
          <c:tx>
            <c:strRef>
              <c:f>DISKWRITE!$E$1</c:f>
              <c:strCache>
                <c:ptCount val="1"/>
                <c:pt idx="0">
                  <c:v>loop1</c:v>
                </c:pt>
              </c:strCache>
            </c:strRef>
          </c:tx>
          <c:marker>
            <c:symbol val="none"/>
          </c:marker>
          <c:cat>
            <c:numRef>
              <c:f>DISKWRITE!$A$2:$A$11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DISKWRITE!$E$2:$E$11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D9E-47A9-9833-EFB23CFEC9D2}"/>
            </c:ext>
          </c:extLst>
        </c:ser>
        <c:ser>
          <c:idx val="4"/>
          <c:order val="4"/>
          <c:tx>
            <c:strRef>
              <c:f>DISKWRITE!$F$1</c:f>
              <c:strCache>
                <c:ptCount val="1"/>
                <c:pt idx="0">
                  <c:v>loop2</c:v>
                </c:pt>
              </c:strCache>
            </c:strRef>
          </c:tx>
          <c:marker>
            <c:symbol val="none"/>
          </c:marker>
          <c:cat>
            <c:numRef>
              <c:f>DISKWRITE!$A$2:$A$11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DISKWRITE!$F$2:$F$11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D9E-47A9-9833-EFB23CFEC9D2}"/>
            </c:ext>
          </c:extLst>
        </c:ser>
        <c:ser>
          <c:idx val="5"/>
          <c:order val="5"/>
          <c:tx>
            <c:strRef>
              <c:f>DISKWRITE!$G$1</c:f>
              <c:strCache>
                <c:ptCount val="1"/>
                <c:pt idx="0">
                  <c:v>loop3</c:v>
                </c:pt>
              </c:strCache>
            </c:strRef>
          </c:tx>
          <c:marker>
            <c:symbol val="none"/>
          </c:marker>
          <c:cat>
            <c:numRef>
              <c:f>DISKWRITE!$A$2:$A$11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DISKWRITE!$G$2:$G$11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2D9E-47A9-9833-EFB23CFEC9D2}"/>
            </c:ext>
          </c:extLst>
        </c:ser>
        <c:ser>
          <c:idx val="6"/>
          <c:order val="6"/>
          <c:tx>
            <c:strRef>
              <c:f>DISKWRITE!$H$1</c:f>
              <c:strCache>
                <c:ptCount val="1"/>
                <c:pt idx="0">
                  <c:v>loop4</c:v>
                </c:pt>
              </c:strCache>
            </c:strRef>
          </c:tx>
          <c:marker>
            <c:symbol val="none"/>
          </c:marker>
          <c:cat>
            <c:numRef>
              <c:f>DISKWRITE!$A$2:$A$11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DISKWRITE!$H$2:$H$11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D9E-47A9-9833-EFB23CFEC9D2}"/>
            </c:ext>
          </c:extLst>
        </c:ser>
        <c:ser>
          <c:idx val="7"/>
          <c:order val="7"/>
          <c:tx>
            <c:strRef>
              <c:f>DISKWRITE!$I$1</c:f>
              <c:strCache>
                <c:ptCount val="1"/>
                <c:pt idx="0">
                  <c:v>loop5</c:v>
                </c:pt>
              </c:strCache>
            </c:strRef>
          </c:tx>
          <c:marker>
            <c:symbol val="none"/>
          </c:marker>
          <c:cat>
            <c:numRef>
              <c:f>DISKWRITE!$A$2:$A$11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DISKWRITE!$I$2:$I$11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2D9E-47A9-9833-EFB23CFEC9D2}"/>
            </c:ext>
          </c:extLst>
        </c:ser>
        <c:ser>
          <c:idx val="8"/>
          <c:order val="8"/>
          <c:tx>
            <c:strRef>
              <c:f>DISKWRITE!$J$1</c:f>
              <c:strCache>
                <c:ptCount val="1"/>
                <c:pt idx="0">
                  <c:v>loop6</c:v>
                </c:pt>
              </c:strCache>
            </c:strRef>
          </c:tx>
          <c:marker>
            <c:symbol val="none"/>
          </c:marker>
          <c:cat>
            <c:numRef>
              <c:f>DISKWRITE!$A$2:$A$11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DISKWRITE!$J$2:$J$11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D9E-47A9-9833-EFB23CFEC9D2}"/>
            </c:ext>
          </c:extLst>
        </c:ser>
        <c:ser>
          <c:idx val="9"/>
          <c:order val="9"/>
          <c:tx>
            <c:strRef>
              <c:f>DISKWRITE!$K$1</c:f>
              <c:strCache>
                <c:ptCount val="1"/>
                <c:pt idx="0">
                  <c:v>loop7</c:v>
                </c:pt>
              </c:strCache>
            </c:strRef>
          </c:tx>
          <c:marker>
            <c:symbol val="none"/>
          </c:marker>
          <c:cat>
            <c:numRef>
              <c:f>DISKWRITE!$A$2:$A$11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DISKWRITE!$K$2:$K$11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2D9E-47A9-9833-EFB23CFEC9D2}"/>
            </c:ext>
          </c:extLst>
        </c:ser>
        <c:ser>
          <c:idx val="10"/>
          <c:order val="10"/>
          <c:tx>
            <c:strRef>
              <c:f>DISKWRITE!$L$1</c:f>
              <c:strCache>
                <c:ptCount val="1"/>
                <c:pt idx="0">
                  <c:v>vda14</c:v>
                </c:pt>
              </c:strCache>
            </c:strRef>
          </c:tx>
          <c:marker>
            <c:symbol val="none"/>
          </c:marker>
          <c:cat>
            <c:numRef>
              <c:f>DISKWRITE!$A$2:$A$11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DISKWRITE!$L$2:$L$11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2D9E-47A9-9833-EFB23CFEC9D2}"/>
            </c:ext>
          </c:extLst>
        </c:ser>
        <c:ser>
          <c:idx val="11"/>
          <c:order val="11"/>
          <c:tx>
            <c:strRef>
              <c:f>DISKWRITE!$M$1</c:f>
              <c:strCache>
                <c:ptCount val="1"/>
                <c:pt idx="0">
                  <c:v>vda15</c:v>
                </c:pt>
              </c:strCache>
            </c:strRef>
          </c:tx>
          <c:marker>
            <c:symbol val="none"/>
          </c:marker>
          <c:cat>
            <c:numRef>
              <c:f>DISKWRITE!$A$2:$A$11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DISKWRITE!$M$2:$M$11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2D9E-47A9-9833-EFB23CFEC9D2}"/>
            </c:ext>
          </c:extLst>
        </c:ser>
        <c:ser>
          <c:idx val="12"/>
          <c:order val="12"/>
          <c:tx>
            <c:strRef>
              <c:f>DISKWRITE!$N$1</c:f>
              <c:strCache>
                <c:ptCount val="1"/>
                <c:pt idx="0">
                  <c:v>vdb</c:v>
                </c:pt>
              </c:strCache>
            </c:strRef>
          </c:tx>
          <c:marker>
            <c:symbol val="none"/>
          </c:marker>
          <c:cat>
            <c:numRef>
              <c:f>DISKWRITE!$A$2:$A$11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DISKWRITE!$N$2:$N$11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2D9E-47A9-9833-EFB23CFEC9D2}"/>
            </c:ext>
          </c:extLst>
        </c:ser>
        <c:ser>
          <c:idx val="13"/>
          <c:order val="13"/>
          <c:tx>
            <c:strRef>
              <c:f>DISKWRITE!$O$1</c:f>
              <c:strCache>
                <c:ptCount val="1"/>
                <c:pt idx="0">
                  <c:v>loop8</c:v>
                </c:pt>
              </c:strCache>
            </c:strRef>
          </c:tx>
          <c:marker>
            <c:symbol val="none"/>
          </c:marker>
          <c:cat>
            <c:numRef>
              <c:f>DISKWRITE!$A$2:$A$11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DISKWRITE!$O$2:$O$11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2D9E-47A9-9833-EFB23CFEC9D2}"/>
            </c:ext>
          </c:extLst>
        </c:ser>
        <c:ser>
          <c:idx val="14"/>
          <c:order val="14"/>
          <c:tx>
            <c:strRef>
              <c:f>DISKWRITE!$P$1</c:f>
              <c:strCache>
                <c:ptCount val="1"/>
                <c:pt idx="0">
                  <c:v>loop9</c:v>
                </c:pt>
              </c:strCache>
            </c:strRef>
          </c:tx>
          <c:marker>
            <c:symbol val="none"/>
          </c:marker>
          <c:cat>
            <c:numRef>
              <c:f>DISKWRITE!$A$2:$A$11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DISKWRITE!$P$2:$P$11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2D9E-47A9-9833-EFB23CFEC9D2}"/>
            </c:ext>
          </c:extLst>
        </c:ser>
        <c:ser>
          <c:idx val="15"/>
          <c:order val="15"/>
          <c:tx>
            <c:strRef>
              <c:f>DISKWRITE!$Q$1</c:f>
              <c:strCache>
                <c:ptCount val="1"/>
                <c:pt idx="0">
                  <c:v>loop10</c:v>
                </c:pt>
              </c:strCache>
            </c:strRef>
          </c:tx>
          <c:marker>
            <c:symbol val="none"/>
          </c:marker>
          <c:cat>
            <c:numRef>
              <c:f>DISKWRITE!$A$2:$A$11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DISKWRITE!$Q$2:$Q$11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2D9E-47A9-9833-EFB23CFEC9D2}"/>
            </c:ext>
          </c:extLst>
        </c:ser>
        <c:ser>
          <c:idx val="16"/>
          <c:order val="16"/>
          <c:tx>
            <c:strRef>
              <c:f>DISKWRITE!$R$1</c:f>
              <c:strCache>
                <c:ptCount val="1"/>
                <c:pt idx="0">
                  <c:v>loop11</c:v>
                </c:pt>
              </c:strCache>
            </c:strRef>
          </c:tx>
          <c:marker>
            <c:symbol val="none"/>
          </c:marker>
          <c:cat>
            <c:numRef>
              <c:f>DISKWRITE!$A$2:$A$11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DISKWRITE!$R$2:$R$11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2D9E-47A9-9833-EFB23CFEC9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6702847"/>
        <c:axId val="586703263"/>
      </c:lineChart>
      <c:catAx>
        <c:axId val="586702847"/>
        <c:scaling>
          <c:orientation val="minMax"/>
        </c:scaling>
        <c:delete val="0"/>
        <c:axPos val="b"/>
        <c:numFmt formatCode="hh:mm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586703263"/>
        <c:crosses val="autoZero"/>
        <c:auto val="0"/>
        <c:lblAlgn val="ctr"/>
        <c:lblOffset val="100"/>
        <c:noMultiLvlLbl val="0"/>
      </c:catAx>
      <c:valAx>
        <c:axId val="586703263"/>
        <c:scaling>
          <c:orientation val="minMax"/>
          <c:min val="0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586702847"/>
        <c:crosses val="autoZero"/>
        <c:crossBetween val="midCat"/>
      </c:valAx>
    </c:plotArea>
    <c:legend>
      <c:legendPos val="t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Disk transfers per second css-xcat4  2/23/2023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Avg.</c:v>
          </c:tx>
          <c:invertIfNegative val="0"/>
          <c:cat>
            <c:strRef>
              <c:f>DISKXFER!$B$1:$R$1</c:f>
              <c:strCache>
                <c:ptCount val="17"/>
                <c:pt idx="0">
                  <c:v>vda</c:v>
                </c:pt>
                <c:pt idx="1">
                  <c:v>vda1</c:v>
                </c:pt>
                <c:pt idx="2">
                  <c:v>loop0</c:v>
                </c:pt>
                <c:pt idx="3">
                  <c:v>loop1</c:v>
                </c:pt>
                <c:pt idx="4">
                  <c:v>loop2</c:v>
                </c:pt>
                <c:pt idx="5">
                  <c:v>loop3</c:v>
                </c:pt>
                <c:pt idx="6">
                  <c:v>loop4</c:v>
                </c:pt>
                <c:pt idx="7">
                  <c:v>loop5</c:v>
                </c:pt>
                <c:pt idx="8">
                  <c:v>loop6</c:v>
                </c:pt>
                <c:pt idx="9">
                  <c:v>loop7</c:v>
                </c:pt>
                <c:pt idx="10">
                  <c:v>vda14</c:v>
                </c:pt>
                <c:pt idx="11">
                  <c:v>vda15</c:v>
                </c:pt>
                <c:pt idx="12">
                  <c:v>vdb</c:v>
                </c:pt>
                <c:pt idx="13">
                  <c:v>loop8</c:v>
                </c:pt>
                <c:pt idx="14">
                  <c:v>loop9</c:v>
                </c:pt>
                <c:pt idx="15">
                  <c:v>loop10</c:v>
                </c:pt>
                <c:pt idx="16">
                  <c:v>loop11</c:v>
                </c:pt>
              </c:strCache>
            </c:strRef>
          </c:cat>
          <c:val>
            <c:numRef>
              <c:f>DISKXFER!$B$13:$R$13</c:f>
              <c:numCache>
                <c:formatCode>0.0</c:formatCode>
                <c:ptCount val="17"/>
                <c:pt idx="0">
                  <c:v>22.970000000000002</c:v>
                </c:pt>
                <c:pt idx="1">
                  <c:v>22.970000000000002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3E7-42CC-9C0E-88E6F5BD7BCB}"/>
            </c:ext>
          </c:extLst>
        </c:ser>
        <c:ser>
          <c:idx val="1"/>
          <c:order val="1"/>
          <c:tx>
            <c:v>WAvg.</c:v>
          </c:tx>
          <c:invertIfNegative val="0"/>
          <c:val>
            <c:numRef>
              <c:f>DISKXFER!$B$14:$R$14</c:f>
              <c:numCache>
                <c:formatCode>0.0</c:formatCode>
                <c:ptCount val="17"/>
                <c:pt idx="0">
                  <c:v>154.22830213321728</c:v>
                </c:pt>
                <c:pt idx="1">
                  <c:v>154.22830213321728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83E7-42CC-9C0E-88E6F5BD7B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86707423"/>
        <c:axId val="586695775"/>
      </c:barChart>
      <c:lineChart>
        <c:grouping val="standard"/>
        <c:varyColors val="0"/>
        <c:ser>
          <c:idx val="2"/>
          <c:order val="2"/>
          <c:tx>
            <c:v>Max</c:v>
          </c:tx>
          <c:spPr>
            <a:solidFill>
              <a:srgbClr val="008000"/>
            </a:solidFill>
            <a:ln w="25400">
              <a:solidFill>
                <a:srgbClr val="008000"/>
              </a:solidFill>
              <a:prstDash val="solid"/>
            </a:ln>
          </c:spPr>
          <c:marker>
            <c:symbol val="none"/>
          </c:marker>
          <c:val>
            <c:numRef>
              <c:f>DISKXFER!$B$15:$R$15</c:f>
              <c:numCache>
                <c:formatCode>0.0</c:formatCode>
                <c:ptCount val="17"/>
                <c:pt idx="0">
                  <c:v>199.8</c:v>
                </c:pt>
                <c:pt idx="1">
                  <c:v>199.8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3E7-42CC-9C0E-88E6F5BD7BCB}"/>
            </c:ext>
          </c:extLst>
        </c:ser>
        <c:ser>
          <c:idx val="3"/>
          <c:order val="3"/>
          <c:tx>
            <c:v>Min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val>
            <c:numRef>
              <c:f>DISKXFER!$B$16:$R$16</c:f>
              <c:numCache>
                <c:formatCode>0.0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83E7-42CC-9C0E-88E6F5BD7B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6704095"/>
        <c:axId val="586703679"/>
      </c:lineChart>
      <c:catAx>
        <c:axId val="586707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586695775"/>
        <c:crosses val="autoZero"/>
        <c:auto val="1"/>
        <c:lblAlgn val="ctr"/>
        <c:lblOffset val="100"/>
        <c:tickLblSkip val="1"/>
        <c:noMultiLvlLbl val="0"/>
      </c:catAx>
      <c:valAx>
        <c:axId val="586695775"/>
        <c:scaling>
          <c:orientation val="minMax"/>
          <c:max val="200.8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Avg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586707423"/>
        <c:crosses val="autoZero"/>
        <c:crossBetween val="between"/>
      </c:valAx>
      <c:valAx>
        <c:axId val="586703679"/>
        <c:scaling>
          <c:orientation val="minMax"/>
          <c:max val="200.8"/>
          <c:min val="0"/>
        </c:scaling>
        <c:delete val="0"/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Min/Max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586704095"/>
        <c:crosses val="max"/>
        <c:crossBetween val="between"/>
      </c:valAx>
      <c:catAx>
        <c:axId val="586704095"/>
        <c:scaling>
          <c:orientation val="minMax"/>
        </c:scaling>
        <c:delete val="1"/>
        <c:axPos val="b"/>
        <c:majorTickMark val="out"/>
        <c:minorTickMark val="none"/>
        <c:tickLblPos val="nextTo"/>
        <c:crossAx val="586703679"/>
        <c:auto val="1"/>
        <c:lblAlgn val="ctr"/>
        <c:lblOffset val="100"/>
        <c:noMultiLvlLbl val="0"/>
      </c:catAx>
    </c:plotArea>
    <c:legend>
      <c:legendPos val="t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Disk transfers per second css-xcat4  2/23/2023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DISKXFER!$B$1</c:f>
              <c:strCache>
                <c:ptCount val="1"/>
                <c:pt idx="0">
                  <c:v>vda</c:v>
                </c:pt>
              </c:strCache>
            </c:strRef>
          </c:tx>
          <c:marker>
            <c:symbol val="none"/>
          </c:marker>
          <c:cat>
            <c:numRef>
              <c:f>DISKXFER!$A$2:$A$11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DISKXFER!$B$2:$B$11</c:f>
              <c:numCache>
                <c:formatCode>General</c:formatCode>
                <c:ptCount val="10"/>
                <c:pt idx="0">
                  <c:v>0</c:v>
                </c:pt>
                <c:pt idx="1">
                  <c:v>27.9</c:v>
                </c:pt>
                <c:pt idx="2">
                  <c:v>199.8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FF9-4A0D-9E28-38936DFC019A}"/>
            </c:ext>
          </c:extLst>
        </c:ser>
        <c:ser>
          <c:idx val="1"/>
          <c:order val="1"/>
          <c:tx>
            <c:strRef>
              <c:f>DISKXFER!$C$1</c:f>
              <c:strCache>
                <c:ptCount val="1"/>
                <c:pt idx="0">
                  <c:v>vda1</c:v>
                </c:pt>
              </c:strCache>
            </c:strRef>
          </c:tx>
          <c:marker>
            <c:symbol val="none"/>
          </c:marker>
          <c:cat>
            <c:numRef>
              <c:f>DISKXFER!$A$2:$A$11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DISKXFER!$C$2:$C$11</c:f>
              <c:numCache>
                <c:formatCode>General</c:formatCode>
                <c:ptCount val="10"/>
                <c:pt idx="0">
                  <c:v>0</c:v>
                </c:pt>
                <c:pt idx="1">
                  <c:v>27.9</c:v>
                </c:pt>
                <c:pt idx="2">
                  <c:v>199.8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BFF9-4A0D-9E28-38936DFC019A}"/>
            </c:ext>
          </c:extLst>
        </c:ser>
        <c:ser>
          <c:idx val="2"/>
          <c:order val="2"/>
          <c:tx>
            <c:strRef>
              <c:f>DISKXFER!$D$1</c:f>
              <c:strCache>
                <c:ptCount val="1"/>
                <c:pt idx="0">
                  <c:v>loop0</c:v>
                </c:pt>
              </c:strCache>
            </c:strRef>
          </c:tx>
          <c:marker>
            <c:symbol val="none"/>
          </c:marker>
          <c:cat>
            <c:numRef>
              <c:f>DISKXFER!$A$2:$A$11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DISKXFER!$D$2:$D$11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FF9-4A0D-9E28-38936DFC019A}"/>
            </c:ext>
          </c:extLst>
        </c:ser>
        <c:ser>
          <c:idx val="3"/>
          <c:order val="3"/>
          <c:tx>
            <c:strRef>
              <c:f>DISKXFER!$E$1</c:f>
              <c:strCache>
                <c:ptCount val="1"/>
                <c:pt idx="0">
                  <c:v>loop1</c:v>
                </c:pt>
              </c:strCache>
            </c:strRef>
          </c:tx>
          <c:marker>
            <c:symbol val="none"/>
          </c:marker>
          <c:cat>
            <c:numRef>
              <c:f>DISKXFER!$A$2:$A$11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DISKXFER!$E$2:$E$11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BFF9-4A0D-9E28-38936DFC019A}"/>
            </c:ext>
          </c:extLst>
        </c:ser>
        <c:ser>
          <c:idx val="4"/>
          <c:order val="4"/>
          <c:tx>
            <c:strRef>
              <c:f>DISKXFER!$F$1</c:f>
              <c:strCache>
                <c:ptCount val="1"/>
                <c:pt idx="0">
                  <c:v>loop2</c:v>
                </c:pt>
              </c:strCache>
            </c:strRef>
          </c:tx>
          <c:marker>
            <c:symbol val="none"/>
          </c:marker>
          <c:cat>
            <c:numRef>
              <c:f>DISKXFER!$A$2:$A$11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DISKXFER!$F$2:$F$11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FF9-4A0D-9E28-38936DFC019A}"/>
            </c:ext>
          </c:extLst>
        </c:ser>
        <c:ser>
          <c:idx val="5"/>
          <c:order val="5"/>
          <c:tx>
            <c:strRef>
              <c:f>DISKXFER!$G$1</c:f>
              <c:strCache>
                <c:ptCount val="1"/>
                <c:pt idx="0">
                  <c:v>loop3</c:v>
                </c:pt>
              </c:strCache>
            </c:strRef>
          </c:tx>
          <c:marker>
            <c:symbol val="none"/>
          </c:marker>
          <c:cat>
            <c:numRef>
              <c:f>DISKXFER!$A$2:$A$11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DISKXFER!$G$2:$G$11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BFF9-4A0D-9E28-38936DFC019A}"/>
            </c:ext>
          </c:extLst>
        </c:ser>
        <c:ser>
          <c:idx val="6"/>
          <c:order val="6"/>
          <c:tx>
            <c:strRef>
              <c:f>DISKXFER!$H$1</c:f>
              <c:strCache>
                <c:ptCount val="1"/>
                <c:pt idx="0">
                  <c:v>loop4</c:v>
                </c:pt>
              </c:strCache>
            </c:strRef>
          </c:tx>
          <c:marker>
            <c:symbol val="none"/>
          </c:marker>
          <c:cat>
            <c:numRef>
              <c:f>DISKXFER!$A$2:$A$11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DISKXFER!$H$2:$H$11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BFF9-4A0D-9E28-38936DFC019A}"/>
            </c:ext>
          </c:extLst>
        </c:ser>
        <c:ser>
          <c:idx val="7"/>
          <c:order val="7"/>
          <c:tx>
            <c:strRef>
              <c:f>DISKXFER!$I$1</c:f>
              <c:strCache>
                <c:ptCount val="1"/>
                <c:pt idx="0">
                  <c:v>loop5</c:v>
                </c:pt>
              </c:strCache>
            </c:strRef>
          </c:tx>
          <c:marker>
            <c:symbol val="none"/>
          </c:marker>
          <c:cat>
            <c:numRef>
              <c:f>DISKXFER!$A$2:$A$11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DISKXFER!$I$2:$I$11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BFF9-4A0D-9E28-38936DFC019A}"/>
            </c:ext>
          </c:extLst>
        </c:ser>
        <c:ser>
          <c:idx val="8"/>
          <c:order val="8"/>
          <c:tx>
            <c:strRef>
              <c:f>DISKXFER!$J$1</c:f>
              <c:strCache>
                <c:ptCount val="1"/>
                <c:pt idx="0">
                  <c:v>loop6</c:v>
                </c:pt>
              </c:strCache>
            </c:strRef>
          </c:tx>
          <c:marker>
            <c:symbol val="none"/>
          </c:marker>
          <c:cat>
            <c:numRef>
              <c:f>DISKXFER!$A$2:$A$11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DISKXFER!$J$2:$J$11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BFF9-4A0D-9E28-38936DFC019A}"/>
            </c:ext>
          </c:extLst>
        </c:ser>
        <c:ser>
          <c:idx val="9"/>
          <c:order val="9"/>
          <c:tx>
            <c:strRef>
              <c:f>DISKXFER!$K$1</c:f>
              <c:strCache>
                <c:ptCount val="1"/>
                <c:pt idx="0">
                  <c:v>loop7</c:v>
                </c:pt>
              </c:strCache>
            </c:strRef>
          </c:tx>
          <c:marker>
            <c:symbol val="none"/>
          </c:marker>
          <c:cat>
            <c:numRef>
              <c:f>DISKXFER!$A$2:$A$11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DISKXFER!$K$2:$K$11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BFF9-4A0D-9E28-38936DFC019A}"/>
            </c:ext>
          </c:extLst>
        </c:ser>
        <c:ser>
          <c:idx val="10"/>
          <c:order val="10"/>
          <c:tx>
            <c:strRef>
              <c:f>DISKXFER!$L$1</c:f>
              <c:strCache>
                <c:ptCount val="1"/>
                <c:pt idx="0">
                  <c:v>vda14</c:v>
                </c:pt>
              </c:strCache>
            </c:strRef>
          </c:tx>
          <c:marker>
            <c:symbol val="none"/>
          </c:marker>
          <c:cat>
            <c:numRef>
              <c:f>DISKXFER!$A$2:$A$11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DISKXFER!$L$2:$L$11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BFF9-4A0D-9E28-38936DFC019A}"/>
            </c:ext>
          </c:extLst>
        </c:ser>
        <c:ser>
          <c:idx val="11"/>
          <c:order val="11"/>
          <c:tx>
            <c:strRef>
              <c:f>DISKXFER!$M$1</c:f>
              <c:strCache>
                <c:ptCount val="1"/>
                <c:pt idx="0">
                  <c:v>vda15</c:v>
                </c:pt>
              </c:strCache>
            </c:strRef>
          </c:tx>
          <c:marker>
            <c:symbol val="none"/>
          </c:marker>
          <c:cat>
            <c:numRef>
              <c:f>DISKXFER!$A$2:$A$11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DISKXFER!$M$2:$M$11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BFF9-4A0D-9E28-38936DFC019A}"/>
            </c:ext>
          </c:extLst>
        </c:ser>
        <c:ser>
          <c:idx val="12"/>
          <c:order val="12"/>
          <c:tx>
            <c:strRef>
              <c:f>DISKXFER!$N$1</c:f>
              <c:strCache>
                <c:ptCount val="1"/>
                <c:pt idx="0">
                  <c:v>vdb</c:v>
                </c:pt>
              </c:strCache>
            </c:strRef>
          </c:tx>
          <c:marker>
            <c:symbol val="none"/>
          </c:marker>
          <c:cat>
            <c:numRef>
              <c:f>DISKXFER!$A$2:$A$11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DISKXFER!$N$2:$N$11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BFF9-4A0D-9E28-38936DFC019A}"/>
            </c:ext>
          </c:extLst>
        </c:ser>
        <c:ser>
          <c:idx val="13"/>
          <c:order val="13"/>
          <c:tx>
            <c:strRef>
              <c:f>DISKXFER!$O$1</c:f>
              <c:strCache>
                <c:ptCount val="1"/>
                <c:pt idx="0">
                  <c:v>loop8</c:v>
                </c:pt>
              </c:strCache>
            </c:strRef>
          </c:tx>
          <c:marker>
            <c:symbol val="none"/>
          </c:marker>
          <c:cat>
            <c:numRef>
              <c:f>DISKXFER!$A$2:$A$11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DISKXFER!$O$2:$O$11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BFF9-4A0D-9E28-38936DFC019A}"/>
            </c:ext>
          </c:extLst>
        </c:ser>
        <c:ser>
          <c:idx val="14"/>
          <c:order val="14"/>
          <c:tx>
            <c:strRef>
              <c:f>DISKXFER!$P$1</c:f>
              <c:strCache>
                <c:ptCount val="1"/>
                <c:pt idx="0">
                  <c:v>loop9</c:v>
                </c:pt>
              </c:strCache>
            </c:strRef>
          </c:tx>
          <c:marker>
            <c:symbol val="none"/>
          </c:marker>
          <c:cat>
            <c:numRef>
              <c:f>DISKXFER!$A$2:$A$11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DISKXFER!$P$2:$P$11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BFF9-4A0D-9E28-38936DFC019A}"/>
            </c:ext>
          </c:extLst>
        </c:ser>
        <c:ser>
          <c:idx val="15"/>
          <c:order val="15"/>
          <c:tx>
            <c:strRef>
              <c:f>DISKXFER!$Q$1</c:f>
              <c:strCache>
                <c:ptCount val="1"/>
                <c:pt idx="0">
                  <c:v>loop10</c:v>
                </c:pt>
              </c:strCache>
            </c:strRef>
          </c:tx>
          <c:marker>
            <c:symbol val="none"/>
          </c:marker>
          <c:cat>
            <c:numRef>
              <c:f>DISKXFER!$A$2:$A$11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DISKXFER!$Q$2:$Q$11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BFF9-4A0D-9E28-38936DFC019A}"/>
            </c:ext>
          </c:extLst>
        </c:ser>
        <c:ser>
          <c:idx val="16"/>
          <c:order val="16"/>
          <c:tx>
            <c:strRef>
              <c:f>DISKXFER!$R$1</c:f>
              <c:strCache>
                <c:ptCount val="1"/>
                <c:pt idx="0">
                  <c:v>loop11</c:v>
                </c:pt>
              </c:strCache>
            </c:strRef>
          </c:tx>
          <c:marker>
            <c:symbol val="none"/>
          </c:marker>
          <c:cat>
            <c:numRef>
              <c:f>DISKXFER!$A$2:$A$11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DISKXFER!$R$2:$R$11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BFF9-4A0D-9E28-38936DFC01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6687871"/>
        <c:axId val="586704927"/>
      </c:lineChart>
      <c:catAx>
        <c:axId val="586687871"/>
        <c:scaling>
          <c:orientation val="minMax"/>
        </c:scaling>
        <c:delete val="0"/>
        <c:axPos val="b"/>
        <c:numFmt formatCode="hh:mm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586704927"/>
        <c:crosses val="autoZero"/>
        <c:auto val="0"/>
        <c:lblAlgn val="ctr"/>
        <c:lblOffset val="100"/>
        <c:noMultiLvlLbl val="0"/>
      </c:catAx>
      <c:valAx>
        <c:axId val="586704927"/>
        <c:scaling>
          <c:orientation val="minMax"/>
          <c:min val="0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586687871"/>
        <c:crosses val="autoZero"/>
        <c:crossBetween val="midCat"/>
      </c:valAx>
    </c:plotArea>
    <c:legend>
      <c:legendPos val="t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JFS Filespace %Used css-xcat4  2/23/2023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JFSFILE!$A$13</c:f>
              <c:strCache>
                <c:ptCount val="1"/>
                <c:pt idx="0">
                  <c:v>Avg.</c:v>
                </c:pt>
              </c:strCache>
            </c:strRef>
          </c:tx>
          <c:invertIfNegative val="0"/>
          <c:cat>
            <c:strRef>
              <c:f>JFSFILE!$B$1:$O$1</c:f>
              <c:strCache>
                <c:ptCount val="14"/>
                <c:pt idx="0">
                  <c:v>/snap/bare/5</c:v>
                </c:pt>
                <c:pt idx="1">
                  <c:v>/snap/core20/1778</c:v>
                </c:pt>
                <c:pt idx="2">
                  <c:v>/snap/firefox/2311</c:v>
                </c:pt>
                <c:pt idx="3">
                  <c:v>/snap/core20/1822</c:v>
                </c:pt>
                <c:pt idx="4">
                  <c:v>/snap/firefox/2356</c:v>
                </c:pt>
                <c:pt idx="5">
                  <c:v>/snap/gnome-3-38-2004/119</c:v>
                </c:pt>
                <c:pt idx="6">
                  <c:v>/snap/gtk-common-themes/1535</c:v>
                </c:pt>
                <c:pt idx="7">
                  <c:v>/snap/lxd/24322</c:v>
                </c:pt>
                <c:pt idx="8">
                  <c:v>/snap/lxd/23541</c:v>
                </c:pt>
                <c:pt idx="9">
                  <c:v>/snap/snapd/17950</c:v>
                </c:pt>
                <c:pt idx="10">
                  <c:v>/</c:v>
                </c:pt>
                <c:pt idx="11">
                  <c:v>/var/snap/firefox/common/host-hunspell</c:v>
                </c:pt>
                <c:pt idx="12">
                  <c:v>/run</c:v>
                </c:pt>
                <c:pt idx="13">
                  <c:v>/dev</c:v>
                </c:pt>
              </c:strCache>
            </c:strRef>
          </c:cat>
          <c:val>
            <c:numRef>
              <c:f>JFSFILE!$B$13:$O$13</c:f>
              <c:numCache>
                <c:formatCode>0.0</c:formatCode>
                <c:ptCount val="14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23.900000000000002</c:v>
                </c:pt>
                <c:pt idx="11">
                  <c:v>23.900000000000002</c:v>
                </c:pt>
                <c:pt idx="12">
                  <c:v>0.19999999999999998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6C5-4AA7-B3A4-3D436472DA22}"/>
            </c:ext>
          </c:extLst>
        </c:ser>
        <c:ser>
          <c:idx val="1"/>
          <c:order val="1"/>
          <c:tx>
            <c:strRef>
              <c:f>JFSFILE!$A$14</c:f>
              <c:strCache>
                <c:ptCount val="1"/>
                <c:pt idx="0">
                  <c:v>WAvg.</c:v>
                </c:pt>
              </c:strCache>
            </c:strRef>
          </c:tx>
          <c:invertIfNegative val="0"/>
          <c:val>
            <c:numRef>
              <c:f>JFSFILE!$B$14:$O$14</c:f>
              <c:numCache>
                <c:formatCode>0.0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1.1102230246251565E-16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66C5-4AA7-B3A4-3D436472DA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86694111"/>
        <c:axId val="586705343"/>
      </c:barChart>
      <c:lineChart>
        <c:grouping val="standard"/>
        <c:varyColors val="0"/>
        <c:ser>
          <c:idx val="2"/>
          <c:order val="2"/>
          <c:tx>
            <c:v>Max</c:v>
          </c:tx>
          <c:spPr>
            <a:solidFill>
              <a:srgbClr val="008000"/>
            </a:solidFill>
            <a:ln w="25400">
              <a:solidFill>
                <a:srgbClr val="008000"/>
              </a:solidFill>
              <a:prstDash val="solid"/>
            </a:ln>
          </c:spPr>
          <c:marker>
            <c:symbol val="none"/>
          </c:marker>
          <c:val>
            <c:numRef>
              <c:f>JFSFILE!$B$15:$O$15</c:f>
              <c:numCache>
                <c:formatCode>0.0</c:formatCode>
                <c:ptCount val="14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23.9</c:v>
                </c:pt>
                <c:pt idx="11">
                  <c:v>23.9</c:v>
                </c:pt>
                <c:pt idx="12">
                  <c:v>0.2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6C5-4AA7-B3A4-3D436472DA22}"/>
            </c:ext>
          </c:extLst>
        </c:ser>
        <c:ser>
          <c:idx val="3"/>
          <c:order val="3"/>
          <c:tx>
            <c:v>Min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val>
            <c:numRef>
              <c:f>JFSFILE!$B$16:$O$16</c:f>
              <c:numCache>
                <c:formatCode>0.0</c:formatCode>
                <c:ptCount val="14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23.9</c:v>
                </c:pt>
                <c:pt idx="11">
                  <c:v>23.9</c:v>
                </c:pt>
                <c:pt idx="12">
                  <c:v>0.2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66C5-4AA7-B3A4-3D436472DA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6691199"/>
        <c:axId val="586707839"/>
      </c:lineChart>
      <c:catAx>
        <c:axId val="5866941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586705343"/>
        <c:crosses val="autoZero"/>
        <c:auto val="1"/>
        <c:lblAlgn val="ctr"/>
        <c:lblOffset val="100"/>
        <c:tickLblSkip val="1"/>
        <c:noMultiLvlLbl val="0"/>
      </c:catAx>
      <c:valAx>
        <c:axId val="586705343"/>
        <c:scaling>
          <c:orientation val="minMax"/>
          <c:max val="10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Avg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586694111"/>
        <c:crosses val="autoZero"/>
        <c:crossBetween val="between"/>
      </c:valAx>
      <c:valAx>
        <c:axId val="586707839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Min/Max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586691199"/>
        <c:crosses val="max"/>
        <c:crossBetween val="between"/>
      </c:valAx>
      <c:catAx>
        <c:axId val="586691199"/>
        <c:scaling>
          <c:orientation val="minMax"/>
        </c:scaling>
        <c:delete val="1"/>
        <c:axPos val="b"/>
        <c:majorTickMark val="out"/>
        <c:minorTickMark val="none"/>
        <c:tickLblPos val="nextTo"/>
        <c:crossAx val="586707839"/>
        <c:auto val="1"/>
        <c:lblAlgn val="ctr"/>
        <c:lblOffset val="100"/>
        <c:noMultiLvlLbl val="0"/>
      </c:catAx>
    </c:plotArea>
    <c:legend>
      <c:legendPos val="t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Memory MB css-xcat4  2/23/2023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MEM!$F$1</c:f>
              <c:strCache>
                <c:ptCount val="1"/>
                <c:pt idx="0">
                  <c:v>memfree</c:v>
                </c:pt>
              </c:strCache>
            </c:strRef>
          </c:tx>
          <c:spPr>
            <a:ln w="25400"/>
          </c:spPr>
          <c:marker>
            <c:symbol val="none"/>
          </c:marker>
          <c:cat>
            <c:numRef>
              <c:f>MEM!$A$2:$A$11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MEM!$F$2:$F$11</c:f>
              <c:numCache>
                <c:formatCode>General</c:formatCode>
                <c:ptCount val="10"/>
                <c:pt idx="0">
                  <c:v>6532.1</c:v>
                </c:pt>
                <c:pt idx="1">
                  <c:v>6532.1</c:v>
                </c:pt>
                <c:pt idx="2">
                  <c:v>6514.3</c:v>
                </c:pt>
                <c:pt idx="3">
                  <c:v>5854.5</c:v>
                </c:pt>
                <c:pt idx="4">
                  <c:v>5280.9</c:v>
                </c:pt>
                <c:pt idx="5">
                  <c:v>4756</c:v>
                </c:pt>
                <c:pt idx="6">
                  <c:v>4192.2</c:v>
                </c:pt>
                <c:pt idx="7">
                  <c:v>3843.1</c:v>
                </c:pt>
                <c:pt idx="8">
                  <c:v>6541.1</c:v>
                </c:pt>
                <c:pt idx="9">
                  <c:v>6541.1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791-401F-ABAF-27774B5A4A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6694527"/>
        <c:axId val="586705759"/>
      </c:lineChart>
      <c:catAx>
        <c:axId val="586694527"/>
        <c:scaling>
          <c:orientation val="minMax"/>
        </c:scaling>
        <c:delete val="0"/>
        <c:axPos val="b"/>
        <c:numFmt formatCode="hh:mm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586705759"/>
        <c:crosses val="autoZero"/>
        <c:auto val="0"/>
        <c:lblAlgn val="ctr"/>
        <c:lblOffset val="100"/>
        <c:noMultiLvlLbl val="0"/>
      </c:catAx>
      <c:valAx>
        <c:axId val="586705759"/>
        <c:scaling>
          <c:orientation val="minMax"/>
          <c:min val="0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586694527"/>
        <c:crosses val="autoZero"/>
        <c:crossBetween val="midCat"/>
        <c:dispUnits>
          <c:builtInUnit val="thousands"/>
          <c:dispUnitsLbl/>
        </c:dispUnits>
      </c:valAx>
    </c:plotArea>
    <c:legend>
      <c:legendPos val="t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0"/>
          <c:order val="0"/>
          <c:tx>
            <c:strRef>
              <c:f>MEM!$B$1</c:f>
              <c:strCache>
                <c:ptCount val="1"/>
                <c:pt idx="0">
                  <c:v>memtotal</c:v>
                </c:pt>
              </c:strCache>
            </c:strRef>
          </c:tx>
          <c:cat>
            <c:numRef>
              <c:f>MEM!$A$2:$A$11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MEM!$B$2:$B$11</c:f>
              <c:numCache>
                <c:formatCode>General</c:formatCode>
                <c:ptCount val="10"/>
                <c:pt idx="0">
                  <c:v>7948.5</c:v>
                </c:pt>
                <c:pt idx="1">
                  <c:v>7948.5</c:v>
                </c:pt>
                <c:pt idx="2">
                  <c:v>7948.5</c:v>
                </c:pt>
                <c:pt idx="3">
                  <c:v>7948.5</c:v>
                </c:pt>
                <c:pt idx="4">
                  <c:v>7948.5</c:v>
                </c:pt>
                <c:pt idx="5">
                  <c:v>7948.5</c:v>
                </c:pt>
                <c:pt idx="6">
                  <c:v>7948.5</c:v>
                </c:pt>
                <c:pt idx="7">
                  <c:v>7948.5</c:v>
                </c:pt>
                <c:pt idx="8">
                  <c:v>7948.5</c:v>
                </c:pt>
                <c:pt idx="9">
                  <c:v>7948.5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ED3-4288-B520-5E5A5CBF4C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6710335"/>
        <c:axId val="586701183"/>
      </c:areaChart>
      <c:catAx>
        <c:axId val="586710335"/>
        <c:scaling>
          <c:orientation val="minMax"/>
        </c:scaling>
        <c:delete val="0"/>
        <c:axPos val="b"/>
        <c:numFmt formatCode="hh:mm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586701183"/>
        <c:crosses val="autoZero"/>
        <c:auto val="0"/>
        <c:lblAlgn val="ctr"/>
        <c:lblOffset val="100"/>
        <c:noMultiLvlLbl val="0"/>
      </c:catAx>
      <c:valAx>
        <c:axId val="586701183"/>
        <c:scaling>
          <c:orientation val="minMax"/>
          <c:min val="0"/>
        </c:scaling>
        <c:delete val="0"/>
        <c:axPos val="l"/>
        <c:numFmt formatCode="0" sourceLinked="0"/>
        <c:majorTickMark val="out"/>
        <c:minorTickMark val="none"/>
        <c:tickLblPos val="nextTo"/>
        <c:crossAx val="586710335"/>
        <c:crosses val="autoZero"/>
        <c:crossBetween val="midCat"/>
        <c:dispUnits>
          <c:builtInUnit val="thousands"/>
          <c:dispUnitsLbl/>
        </c:dispUnits>
      </c:valAx>
    </c:plotArea>
    <c:legend>
      <c:legendPos val="t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Network I/O css-xcat4 (KB/s) - 2/23/2023</a:t>
            </a:r>
          </a:p>
        </c:rich>
      </c:tx>
      <c:overlay val="0"/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NET!$N$1</c:f>
              <c:strCache>
                <c:ptCount val="1"/>
                <c:pt idx="0">
                  <c:v>Total-Read</c:v>
                </c:pt>
              </c:strCache>
            </c:strRef>
          </c:tx>
          <c:cat>
            <c:numRef>
              <c:f>NET!$A$2:$A$11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NET!$N$2:$N$11</c:f>
              <c:numCache>
                <c:formatCode>General</c:formatCode>
                <c:ptCount val="10"/>
                <c:pt idx="0">
                  <c:v>120.8</c:v>
                </c:pt>
                <c:pt idx="1">
                  <c:v>0.30000000000000004</c:v>
                </c:pt>
                <c:pt idx="2">
                  <c:v>1.4</c:v>
                </c:pt>
                <c:pt idx="3">
                  <c:v>0.4</c:v>
                </c:pt>
                <c:pt idx="4">
                  <c:v>0.5</c:v>
                </c:pt>
                <c:pt idx="5">
                  <c:v>27</c:v>
                </c:pt>
                <c:pt idx="6">
                  <c:v>0.4</c:v>
                </c:pt>
                <c:pt idx="7">
                  <c:v>959.8</c:v>
                </c:pt>
                <c:pt idx="8">
                  <c:v>892.5</c:v>
                </c:pt>
                <c:pt idx="9">
                  <c:v>102.80000000000001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CA6-4877-A087-1F2CE62EBC65}"/>
            </c:ext>
          </c:extLst>
        </c:ser>
        <c:ser>
          <c:idx val="1"/>
          <c:order val="1"/>
          <c:tx>
            <c:strRef>
              <c:f>NET!$O$1</c:f>
              <c:strCache>
                <c:ptCount val="1"/>
                <c:pt idx="0">
                  <c:v>Total-Write (-ve)</c:v>
                </c:pt>
              </c:strCache>
            </c:strRef>
          </c:tx>
          <c:val>
            <c:numRef>
              <c:f>NET!$O$2:$O$11</c:f>
              <c:numCache>
                <c:formatCode>General</c:formatCode>
                <c:ptCount val="10"/>
                <c:pt idx="0">
                  <c:v>-171.7</c:v>
                </c:pt>
                <c:pt idx="1">
                  <c:v>-0.2</c:v>
                </c:pt>
                <c:pt idx="2">
                  <c:v>-1.1000000000000001</c:v>
                </c:pt>
                <c:pt idx="3">
                  <c:v>0</c:v>
                </c:pt>
                <c:pt idx="4">
                  <c:v>0</c:v>
                </c:pt>
                <c:pt idx="5">
                  <c:v>-39.1</c:v>
                </c:pt>
                <c:pt idx="6">
                  <c:v>-0.2</c:v>
                </c:pt>
                <c:pt idx="7">
                  <c:v>-1302.5</c:v>
                </c:pt>
                <c:pt idx="8">
                  <c:v>-1064.3</c:v>
                </c:pt>
                <c:pt idx="9">
                  <c:v>-153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6CA6-4877-A087-1F2CE62EBC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6706591"/>
        <c:axId val="586708671"/>
      </c:areaChart>
      <c:catAx>
        <c:axId val="586706591"/>
        <c:scaling>
          <c:orientation val="minMax"/>
        </c:scaling>
        <c:delete val="0"/>
        <c:axPos val="b"/>
        <c:numFmt formatCode="hh:mm" sourceLinked="0"/>
        <c:majorTickMark val="none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586708671"/>
        <c:crosses val="autoZero"/>
        <c:auto val="0"/>
        <c:lblAlgn val="ctr"/>
        <c:lblOffset val="100"/>
        <c:noMultiLvlLbl val="0"/>
      </c:catAx>
      <c:valAx>
        <c:axId val="586708671"/>
        <c:scaling>
          <c:orientation val="minMax"/>
        </c:scaling>
        <c:delete val="0"/>
        <c:axPos val="l"/>
        <c:numFmt formatCode="0" sourceLinked="0"/>
        <c:majorTickMark val="out"/>
        <c:minorTickMark val="none"/>
        <c:tickLblPos val="nextTo"/>
        <c:crossAx val="586706591"/>
        <c:crosses val="autoZero"/>
        <c:crossBetween val="midCat"/>
      </c:valAx>
    </c:plotArea>
    <c:legend>
      <c:legendPos val="t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Network I/O css-xcat4 (KB/s)  2/23/2023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NET!$A$13</c:f>
              <c:strCache>
                <c:ptCount val="1"/>
                <c:pt idx="0">
                  <c:v>Avg.</c:v>
                </c:pt>
              </c:strCache>
            </c:strRef>
          </c:tx>
          <c:invertIfNegative val="0"/>
          <c:cat>
            <c:strRef>
              <c:f>NET!$B$1:$I$1</c:f>
              <c:strCache>
                <c:ptCount val="8"/>
                <c:pt idx="0">
                  <c:v>lo-read</c:v>
                </c:pt>
                <c:pt idx="1">
                  <c:v>eth0-read</c:v>
                </c:pt>
                <c:pt idx="2">
                  <c:v>virbr0-read</c:v>
                </c:pt>
                <c:pt idx="3">
                  <c:v>docker0-read</c:v>
                </c:pt>
                <c:pt idx="4">
                  <c:v>lo-write</c:v>
                </c:pt>
                <c:pt idx="5">
                  <c:v>eth0-write</c:v>
                </c:pt>
                <c:pt idx="6">
                  <c:v>virbr0-write</c:v>
                </c:pt>
                <c:pt idx="7">
                  <c:v>docker0-write</c:v>
                </c:pt>
              </c:strCache>
            </c:strRef>
          </c:cat>
          <c:val>
            <c:numRef>
              <c:f>NET!$B$13:$I$13</c:f>
              <c:numCache>
                <c:formatCode>0.0</c:formatCode>
                <c:ptCount val="8"/>
                <c:pt idx="0">
                  <c:v>209.11999999999998</c:v>
                </c:pt>
                <c:pt idx="1">
                  <c:v>1.4700000000000002</c:v>
                </c:pt>
                <c:pt idx="2">
                  <c:v>0</c:v>
                </c:pt>
                <c:pt idx="3">
                  <c:v>0</c:v>
                </c:pt>
                <c:pt idx="4">
                  <c:v>209.11999999999998</c:v>
                </c:pt>
                <c:pt idx="5">
                  <c:v>64.09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BE0-47BE-B16E-960BCCEB92BF}"/>
            </c:ext>
          </c:extLst>
        </c:ser>
        <c:ser>
          <c:idx val="1"/>
          <c:order val="1"/>
          <c:tx>
            <c:strRef>
              <c:f>NET!$A$14</c:f>
              <c:strCache>
                <c:ptCount val="1"/>
                <c:pt idx="0">
                  <c:v>WAvg.</c:v>
                </c:pt>
              </c:strCache>
            </c:strRef>
          </c:tx>
          <c:invertIfNegative val="0"/>
          <c:val>
            <c:numRef>
              <c:f>NET!$B$14:$I$14</c:f>
              <c:numCache>
                <c:formatCode>0.0</c:formatCode>
                <c:ptCount val="8"/>
                <c:pt idx="0">
                  <c:v>617.66533856159162</c:v>
                </c:pt>
                <c:pt idx="1">
                  <c:v>1.4966666666666661</c:v>
                </c:pt>
                <c:pt idx="2">
                  <c:v>0</c:v>
                </c:pt>
                <c:pt idx="3">
                  <c:v>0</c:v>
                </c:pt>
                <c:pt idx="4">
                  <c:v>617.66533856159162</c:v>
                </c:pt>
                <c:pt idx="5">
                  <c:v>180.44579341550943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BE0-47BE-B16E-960BCCEB92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86709087"/>
        <c:axId val="586699935"/>
      </c:barChart>
      <c:lineChart>
        <c:grouping val="standard"/>
        <c:varyColors val="0"/>
        <c:ser>
          <c:idx val="2"/>
          <c:order val="2"/>
          <c:tx>
            <c:v>Max</c:v>
          </c:tx>
          <c:spPr>
            <a:solidFill>
              <a:srgbClr val="008000"/>
            </a:solidFill>
            <a:ln w="25400">
              <a:solidFill>
                <a:srgbClr val="008000"/>
              </a:solidFill>
              <a:prstDash val="solid"/>
            </a:ln>
          </c:spPr>
          <c:marker>
            <c:symbol val="none"/>
          </c:marker>
          <c:val>
            <c:numRef>
              <c:f>NET!$B$15:$I$15</c:f>
              <c:numCache>
                <c:formatCode>0.0</c:formatCode>
                <c:ptCount val="8"/>
                <c:pt idx="0">
                  <c:v>955.5</c:v>
                </c:pt>
                <c:pt idx="1">
                  <c:v>4.3</c:v>
                </c:pt>
                <c:pt idx="2">
                  <c:v>0</c:v>
                </c:pt>
                <c:pt idx="3">
                  <c:v>0</c:v>
                </c:pt>
                <c:pt idx="4">
                  <c:v>955.5</c:v>
                </c:pt>
                <c:pt idx="5">
                  <c:v>347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BE0-47BE-B16E-960BCCEB92BF}"/>
            </c:ext>
          </c:extLst>
        </c:ser>
        <c:ser>
          <c:idx val="3"/>
          <c:order val="3"/>
          <c:tx>
            <c:v>Min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val>
            <c:numRef>
              <c:f>NET!$B$16:$I$16</c:f>
              <c:numCache>
                <c:formatCode>0.0</c:formatCode>
                <c:ptCount val="8"/>
                <c:pt idx="0">
                  <c:v>0</c:v>
                </c:pt>
                <c:pt idx="1">
                  <c:v>0.2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ABE0-47BE-B16E-960BCCEB92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6709503"/>
        <c:axId val="586700767"/>
      </c:lineChart>
      <c:catAx>
        <c:axId val="58670908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586699935"/>
        <c:crosses val="autoZero"/>
        <c:auto val="1"/>
        <c:lblAlgn val="ctr"/>
        <c:lblOffset val="100"/>
        <c:tickLblSkip val="1"/>
        <c:noMultiLvlLbl val="0"/>
      </c:catAx>
      <c:valAx>
        <c:axId val="586699935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Avg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586709087"/>
        <c:crosses val="autoZero"/>
        <c:crossBetween val="between"/>
      </c:valAx>
      <c:valAx>
        <c:axId val="586700767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Min/Max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586709503"/>
        <c:crosses val="max"/>
        <c:crossBetween val="between"/>
      </c:valAx>
      <c:catAx>
        <c:axId val="586709503"/>
        <c:scaling>
          <c:orientation val="minMax"/>
        </c:scaling>
        <c:delete val="1"/>
        <c:axPos val="b"/>
        <c:majorTickMark val="out"/>
        <c:minorTickMark val="none"/>
        <c:tickLblPos val="nextTo"/>
        <c:crossAx val="586700767"/>
        <c:auto val="1"/>
        <c:lblAlgn val="ctr"/>
        <c:lblOffset val="100"/>
        <c:noMultiLvlLbl val="0"/>
      </c:catAx>
    </c:plotArea>
    <c:legend>
      <c:legendPos val="t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Network I/O css-xcat4 (KB/s)  2/23/2023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NET!$B$1</c:f>
              <c:strCache>
                <c:ptCount val="1"/>
                <c:pt idx="0">
                  <c:v>lo-read</c:v>
                </c:pt>
              </c:strCache>
            </c:strRef>
          </c:tx>
          <c:cat>
            <c:numRef>
              <c:f>NET!$A$2:$A$11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NET!$B$2:$B$11</c:f>
              <c:numCache>
                <c:formatCode>General</c:formatCode>
                <c:ptCount val="10"/>
                <c:pt idx="0">
                  <c:v>117.1</c:v>
                </c:pt>
                <c:pt idx="1">
                  <c:v>0.1</c:v>
                </c:pt>
                <c:pt idx="2">
                  <c:v>0.7</c:v>
                </c:pt>
                <c:pt idx="3">
                  <c:v>0</c:v>
                </c:pt>
                <c:pt idx="4">
                  <c:v>0</c:v>
                </c:pt>
                <c:pt idx="5">
                  <c:v>26.2</c:v>
                </c:pt>
                <c:pt idx="6">
                  <c:v>0.2</c:v>
                </c:pt>
                <c:pt idx="7">
                  <c:v>955.5</c:v>
                </c:pt>
                <c:pt idx="8">
                  <c:v>889.5</c:v>
                </c:pt>
                <c:pt idx="9">
                  <c:v>101.9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893-4293-A1FD-86305F2CD5C5}"/>
            </c:ext>
          </c:extLst>
        </c:ser>
        <c:ser>
          <c:idx val="1"/>
          <c:order val="1"/>
          <c:tx>
            <c:strRef>
              <c:f>NET!$C$1</c:f>
              <c:strCache>
                <c:ptCount val="1"/>
                <c:pt idx="0">
                  <c:v>eth0-read</c:v>
                </c:pt>
              </c:strCache>
            </c:strRef>
          </c:tx>
          <c:cat>
            <c:numRef>
              <c:f>NET!$A$2:$A$11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NET!$C$2:$C$11</c:f>
              <c:numCache>
                <c:formatCode>General</c:formatCode>
                <c:ptCount val="10"/>
                <c:pt idx="0">
                  <c:v>3.7</c:v>
                </c:pt>
                <c:pt idx="1">
                  <c:v>0.2</c:v>
                </c:pt>
                <c:pt idx="2">
                  <c:v>0.7</c:v>
                </c:pt>
                <c:pt idx="3">
                  <c:v>0.4</c:v>
                </c:pt>
                <c:pt idx="4">
                  <c:v>0.5</c:v>
                </c:pt>
                <c:pt idx="5">
                  <c:v>0.8</c:v>
                </c:pt>
                <c:pt idx="6">
                  <c:v>0.2</c:v>
                </c:pt>
                <c:pt idx="7">
                  <c:v>4.3</c:v>
                </c:pt>
                <c:pt idx="8">
                  <c:v>3</c:v>
                </c:pt>
                <c:pt idx="9">
                  <c:v>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893-4293-A1FD-86305F2CD5C5}"/>
            </c:ext>
          </c:extLst>
        </c:ser>
        <c:ser>
          <c:idx val="2"/>
          <c:order val="2"/>
          <c:tx>
            <c:strRef>
              <c:f>NET!$D$1</c:f>
              <c:strCache>
                <c:ptCount val="1"/>
                <c:pt idx="0">
                  <c:v>virbr0-read</c:v>
                </c:pt>
              </c:strCache>
            </c:strRef>
          </c:tx>
          <c:cat>
            <c:numRef>
              <c:f>NET!$A$2:$A$11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NET!$D$2:$D$11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893-4293-A1FD-86305F2CD5C5}"/>
            </c:ext>
          </c:extLst>
        </c:ser>
        <c:ser>
          <c:idx val="3"/>
          <c:order val="3"/>
          <c:tx>
            <c:strRef>
              <c:f>NET!$E$1</c:f>
              <c:strCache>
                <c:ptCount val="1"/>
                <c:pt idx="0">
                  <c:v>docker0-read</c:v>
                </c:pt>
              </c:strCache>
            </c:strRef>
          </c:tx>
          <c:cat>
            <c:numRef>
              <c:f>NET!$A$2:$A$11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NET!$E$2:$E$11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1893-4293-A1FD-86305F2CD5C5}"/>
            </c:ext>
          </c:extLst>
        </c:ser>
        <c:ser>
          <c:idx val="4"/>
          <c:order val="4"/>
          <c:tx>
            <c:strRef>
              <c:f>NET!$F$1</c:f>
              <c:strCache>
                <c:ptCount val="1"/>
                <c:pt idx="0">
                  <c:v>lo-write</c:v>
                </c:pt>
              </c:strCache>
            </c:strRef>
          </c:tx>
          <c:cat>
            <c:numRef>
              <c:f>NET!$A$2:$A$11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NET!$F$2:$F$11</c:f>
              <c:numCache>
                <c:formatCode>General</c:formatCode>
                <c:ptCount val="10"/>
                <c:pt idx="0">
                  <c:v>117.1</c:v>
                </c:pt>
                <c:pt idx="1">
                  <c:v>0.1</c:v>
                </c:pt>
                <c:pt idx="2">
                  <c:v>0.7</c:v>
                </c:pt>
                <c:pt idx="3">
                  <c:v>0</c:v>
                </c:pt>
                <c:pt idx="4">
                  <c:v>0</c:v>
                </c:pt>
                <c:pt idx="5">
                  <c:v>26.2</c:v>
                </c:pt>
                <c:pt idx="6">
                  <c:v>0.2</c:v>
                </c:pt>
                <c:pt idx="7">
                  <c:v>955.5</c:v>
                </c:pt>
                <c:pt idx="8">
                  <c:v>889.5</c:v>
                </c:pt>
                <c:pt idx="9">
                  <c:v>101.9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1893-4293-A1FD-86305F2CD5C5}"/>
            </c:ext>
          </c:extLst>
        </c:ser>
        <c:ser>
          <c:idx val="5"/>
          <c:order val="5"/>
          <c:tx>
            <c:strRef>
              <c:f>NET!$G$1</c:f>
              <c:strCache>
                <c:ptCount val="1"/>
                <c:pt idx="0">
                  <c:v>eth0-write</c:v>
                </c:pt>
              </c:strCache>
            </c:strRef>
          </c:tx>
          <c:cat>
            <c:numRef>
              <c:f>NET!$A$2:$A$11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NET!$G$2:$G$11</c:f>
              <c:numCache>
                <c:formatCode>General</c:formatCode>
                <c:ptCount val="10"/>
                <c:pt idx="0">
                  <c:v>54.6</c:v>
                </c:pt>
                <c:pt idx="1">
                  <c:v>0.1</c:v>
                </c:pt>
                <c:pt idx="2">
                  <c:v>0.4</c:v>
                </c:pt>
                <c:pt idx="3">
                  <c:v>0</c:v>
                </c:pt>
                <c:pt idx="4">
                  <c:v>0</c:v>
                </c:pt>
                <c:pt idx="5">
                  <c:v>12.9</c:v>
                </c:pt>
                <c:pt idx="6">
                  <c:v>0</c:v>
                </c:pt>
                <c:pt idx="7">
                  <c:v>347</c:v>
                </c:pt>
                <c:pt idx="8">
                  <c:v>174.8</c:v>
                </c:pt>
                <c:pt idx="9">
                  <c:v>51.1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1893-4293-A1FD-86305F2CD5C5}"/>
            </c:ext>
          </c:extLst>
        </c:ser>
        <c:ser>
          <c:idx val="6"/>
          <c:order val="6"/>
          <c:tx>
            <c:strRef>
              <c:f>NET!$H$1</c:f>
              <c:strCache>
                <c:ptCount val="1"/>
                <c:pt idx="0">
                  <c:v>virbr0-write</c:v>
                </c:pt>
              </c:strCache>
            </c:strRef>
          </c:tx>
          <c:cat>
            <c:numRef>
              <c:f>NET!$A$2:$A$11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NET!$H$2:$H$11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1893-4293-A1FD-86305F2CD5C5}"/>
            </c:ext>
          </c:extLst>
        </c:ser>
        <c:ser>
          <c:idx val="7"/>
          <c:order val="7"/>
          <c:tx>
            <c:strRef>
              <c:f>NET!$I$1</c:f>
              <c:strCache>
                <c:ptCount val="1"/>
                <c:pt idx="0">
                  <c:v>docker0-write</c:v>
                </c:pt>
              </c:strCache>
            </c:strRef>
          </c:tx>
          <c:cat>
            <c:numRef>
              <c:f>NET!$A$2:$A$11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NET!$I$2:$I$11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1893-4293-A1FD-86305F2CD5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6701599"/>
        <c:axId val="586685791"/>
      </c:areaChart>
      <c:catAx>
        <c:axId val="586701599"/>
        <c:scaling>
          <c:orientation val="minMax"/>
        </c:scaling>
        <c:delete val="0"/>
        <c:axPos val="b"/>
        <c:numFmt formatCode="hh:mm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586685791"/>
        <c:crosses val="autoZero"/>
        <c:auto val="0"/>
        <c:lblAlgn val="ctr"/>
        <c:lblOffset val="100"/>
        <c:noMultiLvlLbl val="0"/>
      </c:catAx>
      <c:valAx>
        <c:axId val="586685791"/>
        <c:scaling>
          <c:orientation val="minMax"/>
          <c:min val="0"/>
        </c:scaling>
        <c:delete val="0"/>
        <c:axPos val="l"/>
        <c:numFmt formatCode="0" sourceLinked="0"/>
        <c:majorTickMark val="out"/>
        <c:minorTickMark val="none"/>
        <c:tickLblPos val="nextTo"/>
        <c:crossAx val="586701599"/>
        <c:crosses val="autoZero"/>
        <c:crossBetween val="midCat"/>
      </c:valAx>
    </c:plotArea>
    <c:legend>
      <c:legendPos val="t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Network Packets css-xcat4  2/23/2023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NETPACKET!$A$13</c:f>
              <c:strCache>
                <c:ptCount val="1"/>
                <c:pt idx="0">
                  <c:v>Avg.</c:v>
                </c:pt>
              </c:strCache>
            </c:strRef>
          </c:tx>
          <c:invertIfNegative val="0"/>
          <c:cat>
            <c:strRef>
              <c:f>NETPACKET!$B$1:$I$1</c:f>
              <c:strCache>
                <c:ptCount val="8"/>
                <c:pt idx="0">
                  <c:v>lo-read/s</c:v>
                </c:pt>
                <c:pt idx="1">
                  <c:v>lo-write/s</c:v>
                </c:pt>
                <c:pt idx="2">
                  <c:v>eth0-write/s</c:v>
                </c:pt>
                <c:pt idx="3">
                  <c:v>eth0-read/s</c:v>
                </c:pt>
                <c:pt idx="4">
                  <c:v>virbr0-read/s</c:v>
                </c:pt>
                <c:pt idx="5">
                  <c:v>docker0-read/s</c:v>
                </c:pt>
                <c:pt idx="6">
                  <c:v>virbr0-write/s</c:v>
                </c:pt>
                <c:pt idx="7">
                  <c:v>docker0-write/s</c:v>
                </c:pt>
              </c:strCache>
            </c:strRef>
          </c:cat>
          <c:val>
            <c:numRef>
              <c:f>NETPACKET!$B$13:$I$13</c:f>
              <c:numCache>
                <c:formatCode>0.0</c:formatCode>
                <c:ptCount val="8"/>
                <c:pt idx="0">
                  <c:v>257.59000000000003</c:v>
                </c:pt>
                <c:pt idx="1">
                  <c:v>257.59000000000003</c:v>
                </c:pt>
                <c:pt idx="2">
                  <c:v>48.910000000000004</c:v>
                </c:pt>
                <c:pt idx="3">
                  <c:v>19.46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808-49A1-83F8-187669087525}"/>
            </c:ext>
          </c:extLst>
        </c:ser>
        <c:ser>
          <c:idx val="1"/>
          <c:order val="1"/>
          <c:tx>
            <c:strRef>
              <c:f>NETPACKET!$A$14</c:f>
              <c:strCache>
                <c:ptCount val="1"/>
                <c:pt idx="0">
                  <c:v>WAvg.</c:v>
                </c:pt>
              </c:strCache>
            </c:strRef>
          </c:tx>
          <c:invertIfNegative val="0"/>
          <c:val>
            <c:numRef>
              <c:f>NETPACKET!$B$14:$I$14</c:f>
              <c:numCache>
                <c:formatCode>0.0</c:formatCode>
                <c:ptCount val="8"/>
                <c:pt idx="0">
                  <c:v>1073.4610462362671</c:v>
                </c:pt>
                <c:pt idx="1">
                  <c:v>1073.4610462362671</c:v>
                </c:pt>
                <c:pt idx="2">
                  <c:v>123.36869556327954</c:v>
                </c:pt>
                <c:pt idx="3">
                  <c:v>17.59015416238438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808-49A1-83F8-1876690875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86686207"/>
        <c:axId val="586687039"/>
      </c:barChart>
      <c:lineChart>
        <c:grouping val="standard"/>
        <c:varyColors val="0"/>
        <c:ser>
          <c:idx val="2"/>
          <c:order val="2"/>
          <c:tx>
            <c:v>Max</c:v>
          </c:tx>
          <c:spPr>
            <a:solidFill>
              <a:srgbClr val="008000"/>
            </a:solidFill>
            <a:ln w="25400">
              <a:solidFill>
                <a:srgbClr val="008000"/>
              </a:solidFill>
              <a:prstDash val="solid"/>
            </a:ln>
          </c:spPr>
          <c:marker>
            <c:symbol val="none"/>
          </c:marker>
          <c:val>
            <c:numRef>
              <c:f>NETPACKET!$B$15:$I$15</c:f>
              <c:numCache>
                <c:formatCode>0.0</c:formatCode>
                <c:ptCount val="8"/>
                <c:pt idx="0">
                  <c:v>1634.7</c:v>
                </c:pt>
                <c:pt idx="1">
                  <c:v>1634.7</c:v>
                </c:pt>
                <c:pt idx="2">
                  <c:v>250.8</c:v>
                </c:pt>
                <c:pt idx="3">
                  <c:v>60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808-49A1-83F8-187669087525}"/>
            </c:ext>
          </c:extLst>
        </c:ser>
        <c:ser>
          <c:idx val="3"/>
          <c:order val="3"/>
          <c:tx>
            <c:v>Min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val>
            <c:numRef>
              <c:f>NETPACKET!$B$16:$I$16</c:f>
              <c:numCache>
                <c:formatCode>0.0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9808-49A1-83F8-1876690875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6689119"/>
        <c:axId val="586687455"/>
      </c:lineChart>
      <c:catAx>
        <c:axId val="58668620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586687039"/>
        <c:crosses val="autoZero"/>
        <c:auto val="1"/>
        <c:lblAlgn val="ctr"/>
        <c:lblOffset val="100"/>
        <c:tickLblSkip val="1"/>
        <c:noMultiLvlLbl val="0"/>
      </c:catAx>
      <c:valAx>
        <c:axId val="586687039"/>
        <c:scaling>
          <c:orientation val="minMax"/>
          <c:max val="1635.7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Avg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586686207"/>
        <c:crosses val="autoZero"/>
        <c:crossBetween val="between"/>
      </c:valAx>
      <c:valAx>
        <c:axId val="586687455"/>
        <c:scaling>
          <c:orientation val="minMax"/>
          <c:max val="1635.7"/>
          <c:min val="0"/>
        </c:scaling>
        <c:delete val="0"/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Min/Max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586689119"/>
        <c:crosses val="max"/>
        <c:crossBetween val="between"/>
      </c:valAx>
      <c:catAx>
        <c:axId val="586689119"/>
        <c:scaling>
          <c:orientation val="minMax"/>
        </c:scaling>
        <c:delete val="1"/>
        <c:axPos val="b"/>
        <c:majorTickMark val="out"/>
        <c:minorTickMark val="none"/>
        <c:tickLblPos val="nextTo"/>
        <c:crossAx val="586687455"/>
        <c:auto val="1"/>
        <c:lblAlgn val="ctr"/>
        <c:lblOffset val="100"/>
        <c:noMultiLvlLbl val="0"/>
      </c:catAx>
    </c:plotArea>
    <c:legend>
      <c:legendPos val="t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Network Packets css-xcat4  2/23/2023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NETPACKET!$B$1</c:f>
              <c:strCache>
                <c:ptCount val="1"/>
                <c:pt idx="0">
                  <c:v>lo-read/s</c:v>
                </c:pt>
              </c:strCache>
            </c:strRef>
          </c:tx>
          <c:marker>
            <c:symbol val="none"/>
          </c:marker>
          <c:cat>
            <c:numRef>
              <c:f>NETPACKET!$A$2:$A$11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NETPACKET!$B$2:$B$11</c:f>
              <c:numCache>
                <c:formatCode>General</c:formatCode>
                <c:ptCount val="10"/>
                <c:pt idx="0">
                  <c:v>47.9</c:v>
                </c:pt>
                <c:pt idx="1">
                  <c:v>1</c:v>
                </c:pt>
                <c:pt idx="2">
                  <c:v>9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3</c:v>
                </c:pt>
                <c:pt idx="7">
                  <c:v>868.3</c:v>
                </c:pt>
                <c:pt idx="8">
                  <c:v>1634.7</c:v>
                </c:pt>
                <c:pt idx="9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D11-4DF8-86D5-EC997ED88CB3}"/>
            </c:ext>
          </c:extLst>
        </c:ser>
        <c:ser>
          <c:idx val="1"/>
          <c:order val="1"/>
          <c:tx>
            <c:strRef>
              <c:f>NETPACKET!$C$1</c:f>
              <c:strCache>
                <c:ptCount val="1"/>
                <c:pt idx="0">
                  <c:v>lo-write/s</c:v>
                </c:pt>
              </c:strCache>
            </c:strRef>
          </c:tx>
          <c:marker>
            <c:symbol val="none"/>
          </c:marker>
          <c:cat>
            <c:numRef>
              <c:f>NETPACKET!$A$2:$A$11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NETPACKET!$C$2:$C$11</c:f>
              <c:numCache>
                <c:formatCode>General</c:formatCode>
                <c:ptCount val="10"/>
                <c:pt idx="0">
                  <c:v>47.9</c:v>
                </c:pt>
                <c:pt idx="1">
                  <c:v>1</c:v>
                </c:pt>
                <c:pt idx="2">
                  <c:v>9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3</c:v>
                </c:pt>
                <c:pt idx="7">
                  <c:v>868.3</c:v>
                </c:pt>
                <c:pt idx="8">
                  <c:v>1634.7</c:v>
                </c:pt>
                <c:pt idx="9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D11-4DF8-86D5-EC997ED88CB3}"/>
            </c:ext>
          </c:extLst>
        </c:ser>
        <c:ser>
          <c:idx val="2"/>
          <c:order val="2"/>
          <c:tx>
            <c:strRef>
              <c:f>NETPACKET!$D$1</c:f>
              <c:strCache>
                <c:ptCount val="1"/>
                <c:pt idx="0">
                  <c:v>eth0-write/s</c:v>
                </c:pt>
              </c:strCache>
            </c:strRef>
          </c:tx>
          <c:marker>
            <c:symbol val="none"/>
          </c:marker>
          <c:cat>
            <c:numRef>
              <c:f>NETPACKET!$A$2:$A$11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NETPACKET!$D$2:$D$11</c:f>
              <c:numCache>
                <c:formatCode>General</c:formatCode>
                <c:ptCount val="10"/>
                <c:pt idx="0">
                  <c:v>56.5</c:v>
                </c:pt>
                <c:pt idx="1">
                  <c:v>1</c:v>
                </c:pt>
                <c:pt idx="2">
                  <c:v>4</c:v>
                </c:pt>
                <c:pt idx="3">
                  <c:v>0</c:v>
                </c:pt>
                <c:pt idx="4">
                  <c:v>0</c:v>
                </c:pt>
                <c:pt idx="5">
                  <c:v>10</c:v>
                </c:pt>
                <c:pt idx="6">
                  <c:v>0</c:v>
                </c:pt>
                <c:pt idx="7">
                  <c:v>250.8</c:v>
                </c:pt>
                <c:pt idx="8">
                  <c:v>128.9</c:v>
                </c:pt>
                <c:pt idx="9">
                  <c:v>37.9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D11-4DF8-86D5-EC997ED88CB3}"/>
            </c:ext>
          </c:extLst>
        </c:ser>
        <c:ser>
          <c:idx val="3"/>
          <c:order val="3"/>
          <c:tx>
            <c:strRef>
              <c:f>NETPACKET!$E$1</c:f>
              <c:strCache>
                <c:ptCount val="1"/>
                <c:pt idx="0">
                  <c:v>eth0-read/s</c:v>
                </c:pt>
              </c:strCache>
            </c:strRef>
          </c:tx>
          <c:marker>
            <c:symbol val="none"/>
          </c:marker>
          <c:cat>
            <c:numRef>
              <c:f>NETPACKET!$A$2:$A$11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NETPACKET!$E$2:$E$11</c:f>
              <c:numCache>
                <c:formatCode>General</c:formatCode>
                <c:ptCount val="10"/>
                <c:pt idx="0">
                  <c:v>38.6</c:v>
                </c:pt>
                <c:pt idx="1">
                  <c:v>4</c:v>
                </c:pt>
                <c:pt idx="2">
                  <c:v>10</c:v>
                </c:pt>
                <c:pt idx="3">
                  <c:v>6</c:v>
                </c:pt>
                <c:pt idx="4">
                  <c:v>8</c:v>
                </c:pt>
                <c:pt idx="5">
                  <c:v>12</c:v>
                </c:pt>
                <c:pt idx="6">
                  <c:v>4</c:v>
                </c:pt>
                <c:pt idx="7">
                  <c:v>60</c:v>
                </c:pt>
                <c:pt idx="8">
                  <c:v>40</c:v>
                </c:pt>
                <c:pt idx="9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D11-4DF8-86D5-EC997ED88CB3}"/>
            </c:ext>
          </c:extLst>
        </c:ser>
        <c:ser>
          <c:idx val="4"/>
          <c:order val="4"/>
          <c:tx>
            <c:strRef>
              <c:f>NETPACKET!$F$1</c:f>
              <c:strCache>
                <c:ptCount val="1"/>
                <c:pt idx="0">
                  <c:v>virbr0-read/s</c:v>
                </c:pt>
              </c:strCache>
            </c:strRef>
          </c:tx>
          <c:marker>
            <c:symbol val="none"/>
          </c:marker>
          <c:cat>
            <c:numRef>
              <c:f>NETPACKET!$A$2:$A$11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NETPACKET!$F$2:$F$11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D11-4DF8-86D5-EC997ED88CB3}"/>
            </c:ext>
          </c:extLst>
        </c:ser>
        <c:ser>
          <c:idx val="5"/>
          <c:order val="5"/>
          <c:tx>
            <c:strRef>
              <c:f>NETPACKET!$G$1</c:f>
              <c:strCache>
                <c:ptCount val="1"/>
                <c:pt idx="0">
                  <c:v>docker0-read/s</c:v>
                </c:pt>
              </c:strCache>
            </c:strRef>
          </c:tx>
          <c:marker>
            <c:symbol val="none"/>
          </c:marker>
          <c:cat>
            <c:numRef>
              <c:f>NETPACKET!$A$2:$A$11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NETPACKET!$G$2:$G$11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6D11-4DF8-86D5-EC997ED88CB3}"/>
            </c:ext>
          </c:extLst>
        </c:ser>
        <c:ser>
          <c:idx val="6"/>
          <c:order val="6"/>
          <c:tx>
            <c:strRef>
              <c:f>NETPACKET!$H$1</c:f>
              <c:strCache>
                <c:ptCount val="1"/>
                <c:pt idx="0">
                  <c:v>virbr0-write/s</c:v>
                </c:pt>
              </c:strCache>
            </c:strRef>
          </c:tx>
          <c:marker>
            <c:symbol val="none"/>
          </c:marker>
          <c:cat>
            <c:numRef>
              <c:f>NETPACKET!$A$2:$A$11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NETPACKET!$H$2:$H$11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D11-4DF8-86D5-EC997ED88CB3}"/>
            </c:ext>
          </c:extLst>
        </c:ser>
        <c:ser>
          <c:idx val="7"/>
          <c:order val="7"/>
          <c:tx>
            <c:strRef>
              <c:f>NETPACKET!$I$1</c:f>
              <c:strCache>
                <c:ptCount val="1"/>
                <c:pt idx="0">
                  <c:v>docker0-write/s</c:v>
                </c:pt>
              </c:strCache>
            </c:strRef>
          </c:tx>
          <c:marker>
            <c:symbol val="none"/>
          </c:marker>
          <c:cat>
            <c:numRef>
              <c:f>NETPACKET!$A$2:$A$11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NETPACKET!$I$2:$I$11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6D11-4DF8-86D5-EC997ED88C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6688287"/>
        <c:axId val="586689951"/>
      </c:lineChart>
      <c:catAx>
        <c:axId val="586688287"/>
        <c:scaling>
          <c:orientation val="minMax"/>
        </c:scaling>
        <c:delete val="0"/>
        <c:axPos val="b"/>
        <c:numFmt formatCode="hh:mm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586689951"/>
        <c:crosses val="autoZero"/>
        <c:auto val="0"/>
        <c:lblAlgn val="ctr"/>
        <c:lblOffset val="100"/>
        <c:noMultiLvlLbl val="0"/>
      </c:catAx>
      <c:valAx>
        <c:axId val="586689951"/>
        <c:scaling>
          <c:orientation val="minMax"/>
          <c:min val="0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586688287"/>
        <c:crosses val="autoZero"/>
        <c:crossBetween val="midCat"/>
      </c:valAx>
    </c:plotArea>
    <c:legend>
      <c:legendPos val="t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Processes css-xcat4  2/23/2023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PROC!$B$1</c:f>
              <c:strCache>
                <c:ptCount val="1"/>
                <c:pt idx="0">
                  <c:v>RunQueue</c:v>
                </c:pt>
              </c:strCache>
            </c:strRef>
          </c:tx>
          <c:spPr>
            <a:ln w="25400"/>
          </c:spPr>
          <c:marker>
            <c:symbol val="none"/>
          </c:marker>
          <c:cat>
            <c:numRef>
              <c:f>PROC!$A$2:$A$11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PROC!$B$2:$B$11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43</c:v>
                </c:pt>
                <c:pt idx="3">
                  <c:v>187</c:v>
                </c:pt>
                <c:pt idx="4">
                  <c:v>202</c:v>
                </c:pt>
                <c:pt idx="5">
                  <c:v>201</c:v>
                </c:pt>
                <c:pt idx="6">
                  <c:v>203</c:v>
                </c:pt>
                <c:pt idx="7">
                  <c:v>198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FD5-45F0-95DD-61A3EA858E4F}"/>
            </c:ext>
          </c:extLst>
        </c:ser>
        <c:ser>
          <c:idx val="1"/>
          <c:order val="1"/>
          <c:tx>
            <c:strRef>
              <c:f>PROC!$C$1</c:f>
              <c:strCache>
                <c:ptCount val="1"/>
                <c:pt idx="0">
                  <c:v>Blocked</c:v>
                </c:pt>
              </c:strCache>
            </c:strRef>
          </c:tx>
          <c:spPr>
            <a:ln w="25400"/>
          </c:spPr>
          <c:marker>
            <c:symbol val="none"/>
          </c:marker>
          <c:val>
            <c:numRef>
              <c:f>PROC!$C$2:$C$11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BFD5-45F0-95DD-61A3EA858E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5273807"/>
        <c:axId val="595278799"/>
      </c:lineChart>
      <c:catAx>
        <c:axId val="595273807"/>
        <c:scaling>
          <c:orientation val="minMax"/>
        </c:scaling>
        <c:delete val="0"/>
        <c:axPos val="b"/>
        <c:numFmt formatCode="hh:mm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595278799"/>
        <c:crosses val="autoZero"/>
        <c:auto val="0"/>
        <c:lblAlgn val="ctr"/>
        <c:lblOffset val="100"/>
        <c:noMultiLvlLbl val="0"/>
      </c:catAx>
      <c:valAx>
        <c:axId val="595278799"/>
        <c:scaling>
          <c:orientation val="minMax"/>
          <c:min val="0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595273807"/>
        <c:crosses val="autoZero"/>
        <c:crossBetween val="midCat"/>
      </c:valAx>
    </c:plotArea>
    <c:legend>
      <c:legendPos val="t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Processes css-xcat4  2/23/2023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pswitch/sec</c:v>
          </c:tx>
          <c:spPr>
            <a:ln w="25400"/>
          </c:spPr>
          <c:marker>
            <c:symbol val="none"/>
          </c:marker>
          <c:cat>
            <c:numRef>
              <c:f>PROC!$A$2:$A$11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PROC!$D$2:$D$11</c:f>
              <c:numCache>
                <c:formatCode>General</c:formatCode>
                <c:ptCount val="10"/>
                <c:pt idx="0">
                  <c:v>0</c:v>
                </c:pt>
                <c:pt idx="1">
                  <c:v>189.6</c:v>
                </c:pt>
                <c:pt idx="2">
                  <c:v>3724.4</c:v>
                </c:pt>
                <c:pt idx="3">
                  <c:v>2681.3</c:v>
                </c:pt>
                <c:pt idx="4">
                  <c:v>2729.5</c:v>
                </c:pt>
                <c:pt idx="5">
                  <c:v>2678.7</c:v>
                </c:pt>
                <c:pt idx="6">
                  <c:v>2760.6</c:v>
                </c:pt>
                <c:pt idx="7">
                  <c:v>6647.5</c:v>
                </c:pt>
                <c:pt idx="8">
                  <c:v>14622.2</c:v>
                </c:pt>
                <c:pt idx="9">
                  <c:v>182.7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665-43C8-9A43-9C512F8D853E}"/>
            </c:ext>
          </c:extLst>
        </c:ser>
        <c:ser>
          <c:idx val="1"/>
          <c:order val="1"/>
          <c:tx>
            <c:v>syscalls/sec</c:v>
          </c:tx>
          <c:spPr>
            <a:ln w="25400"/>
          </c:spPr>
          <c:marker>
            <c:symbol val="none"/>
          </c:marker>
          <c:val>
            <c:numRef>
              <c:f>PROC!$E$2:$E$11</c:f>
              <c:numCache>
                <c:formatCode>General</c:formatCode>
                <c:ptCount val="10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  <c:pt idx="9">
                  <c:v>-1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665-43C8-9A43-9C512F8D85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5286287"/>
        <c:axId val="595267151"/>
      </c:lineChart>
      <c:catAx>
        <c:axId val="595286287"/>
        <c:scaling>
          <c:orientation val="minMax"/>
        </c:scaling>
        <c:delete val="0"/>
        <c:axPos val="b"/>
        <c:numFmt formatCode="hh:mm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595267151"/>
        <c:crosses val="autoZero"/>
        <c:auto val="0"/>
        <c:lblAlgn val="ctr"/>
        <c:lblOffset val="100"/>
        <c:noMultiLvlLbl val="0"/>
      </c:catAx>
      <c:valAx>
        <c:axId val="595267151"/>
        <c:scaling>
          <c:orientation val="minMax"/>
          <c:min val="0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595286287"/>
        <c:crosses val="autoZero"/>
        <c:crossBetween val="midCat"/>
        <c:dispUnits>
          <c:builtInUnit val="thousands"/>
          <c:dispUnitsLbl/>
        </c:dispUnits>
      </c:valAx>
    </c:plotArea>
    <c:legend>
      <c:legendPos val="t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Processes css-xcat4  2/23/2023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forks/sec</c:v>
          </c:tx>
          <c:spPr>
            <a:ln w="25400"/>
          </c:spPr>
          <c:marker>
            <c:symbol val="none"/>
          </c:marker>
          <c:cat>
            <c:numRef>
              <c:f>PROC!$A$2:$A$11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PROC!$H$2:$H$11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445.5</c:v>
                </c:pt>
                <c:pt idx="3">
                  <c:v>143.80000000000001</c:v>
                </c:pt>
                <c:pt idx="4">
                  <c:v>19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FAA-4850-8529-A5D85E7D7984}"/>
            </c:ext>
          </c:extLst>
        </c:ser>
        <c:ser>
          <c:idx val="1"/>
          <c:order val="1"/>
          <c:tx>
            <c:v>execs/sec</c:v>
          </c:tx>
          <c:spPr>
            <a:ln w="25400"/>
          </c:spPr>
          <c:marker>
            <c:symbol val="none"/>
          </c:marker>
          <c:val>
            <c:numRef>
              <c:f>PROC!$I$2:$I$11</c:f>
              <c:numCache>
                <c:formatCode>General</c:formatCode>
                <c:ptCount val="10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  <c:pt idx="9">
                  <c:v>-1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FAA-4850-8529-A5D85E7D79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5268399"/>
        <c:axId val="595270895"/>
      </c:lineChart>
      <c:catAx>
        <c:axId val="595268399"/>
        <c:scaling>
          <c:orientation val="minMax"/>
        </c:scaling>
        <c:delete val="0"/>
        <c:axPos val="b"/>
        <c:numFmt formatCode="hh:mm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595270895"/>
        <c:crosses val="autoZero"/>
        <c:auto val="0"/>
        <c:lblAlgn val="ctr"/>
        <c:lblOffset val="100"/>
        <c:noMultiLvlLbl val="0"/>
      </c:catAx>
      <c:valAx>
        <c:axId val="595270895"/>
        <c:scaling>
          <c:orientation val="minMax"/>
          <c:min val="0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595268399"/>
        <c:crosses val="autoZero"/>
        <c:crossBetween val="midCat"/>
      </c:valAx>
    </c:plotArea>
    <c:legend>
      <c:legendPos val="t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File-backed paging (kByes/sec) css-xcat4 2/23/2023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VM!$H$1</c:f>
              <c:strCache>
                <c:ptCount val="1"/>
                <c:pt idx="0">
                  <c:v>pgpgin</c:v>
                </c:pt>
              </c:strCache>
            </c:strRef>
          </c:tx>
          <c:cat>
            <c:numRef>
              <c:f>VM!$A$2:$A$11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VM!$H$2:$H$11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3E7-4318-A562-1362B8670DD0}"/>
            </c:ext>
          </c:extLst>
        </c:ser>
        <c:ser>
          <c:idx val="1"/>
          <c:order val="1"/>
          <c:tx>
            <c:strRef>
              <c:f>VM!$I$1</c:f>
              <c:strCache>
                <c:ptCount val="1"/>
                <c:pt idx="0">
                  <c:v>pgpgout</c:v>
                </c:pt>
              </c:strCache>
            </c:strRef>
          </c:tx>
          <c:val>
            <c:numRef>
              <c:f>VM!$I$2:$I$11</c:f>
              <c:numCache>
                <c:formatCode>General</c:formatCode>
                <c:ptCount val="10"/>
                <c:pt idx="0">
                  <c:v>0</c:v>
                </c:pt>
                <c:pt idx="1">
                  <c:v>124</c:v>
                </c:pt>
                <c:pt idx="2">
                  <c:v>800</c:v>
                </c:pt>
                <c:pt idx="3">
                  <c:v>0</c:v>
                </c:pt>
                <c:pt idx="4">
                  <c:v>208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23E7-4318-A562-1362B8670D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264239"/>
        <c:axId val="595265071"/>
      </c:areaChart>
      <c:catAx>
        <c:axId val="595264239"/>
        <c:scaling>
          <c:orientation val="minMax"/>
        </c:scaling>
        <c:delete val="0"/>
        <c:axPos val="b"/>
        <c:numFmt formatCode="hh:mm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595265071"/>
        <c:crosses val="autoZero"/>
        <c:auto val="0"/>
        <c:lblAlgn val="ctr"/>
        <c:lblOffset val="100"/>
        <c:noMultiLvlLbl val="0"/>
      </c:catAx>
      <c:valAx>
        <c:axId val="595265071"/>
        <c:scaling>
          <c:orientation val="minMax"/>
          <c:min val="0"/>
        </c:scaling>
        <c:delete val="0"/>
        <c:axPos val="l"/>
        <c:numFmt formatCode="0" sourceLinked="0"/>
        <c:majorTickMark val="out"/>
        <c:minorTickMark val="none"/>
        <c:tickLblPos val="nextTo"/>
        <c:crossAx val="595264239"/>
        <c:crosses val="autoZero"/>
        <c:crossBetween val="midCat"/>
      </c:valAx>
    </c:plotArea>
    <c:legend>
      <c:legendPos val="t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Swap-space activity (kBytes/sec) css-xcat4 2/23/2023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VM!$J$1</c:f>
              <c:strCache>
                <c:ptCount val="1"/>
                <c:pt idx="0">
                  <c:v>pswpin</c:v>
                </c:pt>
              </c:strCache>
            </c:strRef>
          </c:tx>
          <c:cat>
            <c:numRef>
              <c:f>VM!$A$2:$A$11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VM!$J$2:$J$11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338-4143-8AB0-FD4EE35CBBEF}"/>
            </c:ext>
          </c:extLst>
        </c:ser>
        <c:ser>
          <c:idx val="1"/>
          <c:order val="1"/>
          <c:tx>
            <c:strRef>
              <c:f>VM!$K$1</c:f>
              <c:strCache>
                <c:ptCount val="1"/>
                <c:pt idx="0">
                  <c:v>pswpout</c:v>
                </c:pt>
              </c:strCache>
            </c:strRef>
          </c:tx>
          <c:val>
            <c:numRef>
              <c:f>VM!$K$2:$K$11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6338-4143-8AB0-FD4EE35CBB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271311"/>
        <c:axId val="595279631"/>
      </c:areaChart>
      <c:catAx>
        <c:axId val="595271311"/>
        <c:scaling>
          <c:orientation val="minMax"/>
        </c:scaling>
        <c:delete val="0"/>
        <c:axPos val="b"/>
        <c:numFmt formatCode="hh:mm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595279631"/>
        <c:crosses val="autoZero"/>
        <c:auto val="0"/>
        <c:lblAlgn val="ctr"/>
        <c:lblOffset val="100"/>
        <c:noMultiLvlLbl val="0"/>
      </c:catAx>
      <c:valAx>
        <c:axId val="595279631"/>
        <c:scaling>
          <c:orientation val="minMax"/>
          <c:min val="0"/>
        </c:scaling>
        <c:delete val="0"/>
        <c:axPos val="l"/>
        <c:numFmt formatCode="0.0" sourceLinked="0"/>
        <c:majorTickMark val="out"/>
        <c:minorTickMark val="none"/>
        <c:tickLblPos val="nextTo"/>
        <c:crossAx val="595271311"/>
        <c:crosses val="autoZero"/>
        <c:crossBetween val="midCat"/>
      </c:valAx>
    </c:plotArea>
    <c:legend>
      <c:legendPos val="t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CPU 1 css-xcat4  2/23/2023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'CPU001'!$B$1</c:f>
              <c:strCache>
                <c:ptCount val="1"/>
                <c:pt idx="0">
                  <c:v>User%</c:v>
                </c:pt>
              </c:strCache>
            </c:strRef>
          </c:tx>
          <c:invertIfNegative val="0"/>
          <c:cat>
            <c:numRef>
              <c:f>'CPU001'!$A$2:$A$11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'CPU001'!$B$2:$B$11</c:f>
              <c:numCache>
                <c:formatCode>General</c:formatCode>
                <c:ptCount val="10"/>
                <c:pt idx="0">
                  <c:v>3</c:v>
                </c:pt>
                <c:pt idx="1">
                  <c:v>0</c:v>
                </c:pt>
                <c:pt idx="2">
                  <c:v>8.6999999999999993</c:v>
                </c:pt>
                <c:pt idx="3">
                  <c:v>63.6</c:v>
                </c:pt>
                <c:pt idx="4">
                  <c:v>72</c:v>
                </c:pt>
                <c:pt idx="5">
                  <c:v>74</c:v>
                </c:pt>
                <c:pt idx="6">
                  <c:v>78</c:v>
                </c:pt>
                <c:pt idx="7">
                  <c:v>86</c:v>
                </c:pt>
                <c:pt idx="8">
                  <c:v>83.2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A5A-4F94-96EA-44DF647C9C11}"/>
            </c:ext>
          </c:extLst>
        </c:ser>
        <c:ser>
          <c:idx val="1"/>
          <c:order val="1"/>
          <c:tx>
            <c:strRef>
              <c:f>'CPU001'!$C$1</c:f>
              <c:strCache>
                <c:ptCount val="1"/>
                <c:pt idx="0">
                  <c:v>Sys%</c:v>
                </c:pt>
              </c:strCache>
            </c:strRef>
          </c:tx>
          <c:invertIfNegative val="0"/>
          <c:cat>
            <c:numRef>
              <c:f>'CPU001'!$A$2:$A$11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'CPU001'!$C$2:$C$11</c:f>
              <c:numCache>
                <c:formatCode>General</c:formatCode>
                <c:ptCount val="10"/>
                <c:pt idx="0">
                  <c:v>4.5</c:v>
                </c:pt>
                <c:pt idx="1">
                  <c:v>0</c:v>
                </c:pt>
                <c:pt idx="2">
                  <c:v>15.5</c:v>
                </c:pt>
                <c:pt idx="3">
                  <c:v>36.4</c:v>
                </c:pt>
                <c:pt idx="4">
                  <c:v>28</c:v>
                </c:pt>
                <c:pt idx="5">
                  <c:v>26</c:v>
                </c:pt>
                <c:pt idx="6">
                  <c:v>22</c:v>
                </c:pt>
                <c:pt idx="7">
                  <c:v>14</c:v>
                </c:pt>
                <c:pt idx="8">
                  <c:v>10.9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A5A-4F94-96EA-44DF647C9C11}"/>
            </c:ext>
          </c:extLst>
        </c:ser>
        <c:ser>
          <c:idx val="2"/>
          <c:order val="2"/>
          <c:tx>
            <c:strRef>
              <c:f>'CPU001'!$D$1</c:f>
              <c:strCache>
                <c:ptCount val="1"/>
                <c:pt idx="0">
                  <c:v>Wait%</c:v>
                </c:pt>
              </c:strCache>
            </c:strRef>
          </c:tx>
          <c:invertIfNegative val="0"/>
          <c:cat>
            <c:numRef>
              <c:f>'CPU001'!$A$2:$A$11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'CPU001'!$D$2:$D$11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A5A-4F94-96EA-44DF647C9C11}"/>
            </c:ext>
          </c:extLst>
        </c:ser>
        <c:ser>
          <c:idx val="3"/>
          <c:order val="3"/>
          <c:tx>
            <c:strRef>
              <c:f>'CPU001'!$E$1</c:f>
              <c:strCache>
                <c:ptCount val="1"/>
                <c:pt idx="0">
                  <c:v>Idle%</c:v>
                </c:pt>
              </c:strCache>
            </c:strRef>
          </c:tx>
          <c:invertIfNegative val="0"/>
          <c:cat>
            <c:numRef>
              <c:f>'CPU001'!$A$2:$A$11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'CPU001'!$E$2:$E$11</c:f>
              <c:numCache>
                <c:formatCode>General</c:formatCode>
                <c:ptCount val="10"/>
                <c:pt idx="0">
                  <c:v>92.5</c:v>
                </c:pt>
                <c:pt idx="1">
                  <c:v>100</c:v>
                </c:pt>
                <c:pt idx="2">
                  <c:v>75.7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5.9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A5A-4F94-96EA-44DF647C9C11}"/>
            </c:ext>
          </c:extLst>
        </c:ser>
        <c:ser>
          <c:idx val="4"/>
          <c:order val="4"/>
          <c:tx>
            <c:strRef>
              <c:f>'CPU001'!$F$1</c:f>
              <c:strCache>
                <c:ptCount val="1"/>
                <c:pt idx="0">
                  <c:v>Steal%</c:v>
                </c:pt>
              </c:strCache>
            </c:strRef>
          </c:tx>
          <c:invertIfNegative val="0"/>
          <c:cat>
            <c:numRef>
              <c:f>'CPU001'!$A$2:$A$11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'CPU001'!$F$2:$F$11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A5A-4F94-96EA-44DF647C9C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586671231"/>
        <c:axId val="586676639"/>
      </c:barChart>
      <c:catAx>
        <c:axId val="586671231"/>
        <c:scaling>
          <c:orientation val="minMax"/>
        </c:scaling>
        <c:delete val="0"/>
        <c:axPos val="b"/>
        <c:numFmt formatCode="hh:mm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586676639"/>
        <c:crosses val="autoZero"/>
        <c:auto val="0"/>
        <c:lblAlgn val="ctr"/>
        <c:lblOffset val="100"/>
        <c:noMultiLvlLbl val="0"/>
      </c:catAx>
      <c:valAx>
        <c:axId val="586676639"/>
        <c:scaling>
          <c:orientation val="minMax"/>
          <c:max val="10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Utilization (%)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586671231"/>
        <c:crosses val="autoZero"/>
        <c:crossBetween val="between"/>
      </c:valAx>
    </c:plotArea>
    <c:legend>
      <c:legendPos val="t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CPU 2 css-xcat4  2/23/2023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'CPU002'!$B$1</c:f>
              <c:strCache>
                <c:ptCount val="1"/>
                <c:pt idx="0">
                  <c:v>User%</c:v>
                </c:pt>
              </c:strCache>
            </c:strRef>
          </c:tx>
          <c:invertIfNegative val="0"/>
          <c:cat>
            <c:numRef>
              <c:f>'CPU002'!$A$2:$A$11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'CPU002'!$B$2:$B$11</c:f>
              <c:numCache>
                <c:formatCode>General</c:formatCode>
                <c:ptCount val="10"/>
                <c:pt idx="0">
                  <c:v>1.5</c:v>
                </c:pt>
                <c:pt idx="1">
                  <c:v>0</c:v>
                </c:pt>
                <c:pt idx="2">
                  <c:v>8.1999999999999993</c:v>
                </c:pt>
                <c:pt idx="3">
                  <c:v>70</c:v>
                </c:pt>
                <c:pt idx="4">
                  <c:v>74</c:v>
                </c:pt>
                <c:pt idx="5">
                  <c:v>76</c:v>
                </c:pt>
                <c:pt idx="6">
                  <c:v>69.3</c:v>
                </c:pt>
                <c:pt idx="7">
                  <c:v>82</c:v>
                </c:pt>
                <c:pt idx="8">
                  <c:v>84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8CF-43ED-9E16-288A62C1252C}"/>
            </c:ext>
          </c:extLst>
        </c:ser>
        <c:ser>
          <c:idx val="1"/>
          <c:order val="1"/>
          <c:tx>
            <c:strRef>
              <c:f>'CPU002'!$C$1</c:f>
              <c:strCache>
                <c:ptCount val="1"/>
                <c:pt idx="0">
                  <c:v>Sys%</c:v>
                </c:pt>
              </c:strCache>
            </c:strRef>
          </c:tx>
          <c:invertIfNegative val="0"/>
          <c:cat>
            <c:numRef>
              <c:f>'CPU002'!$A$2:$A$11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'CPU002'!$C$2:$C$11</c:f>
              <c:numCache>
                <c:formatCode>General</c:formatCode>
                <c:ptCount val="10"/>
                <c:pt idx="0">
                  <c:v>0.7</c:v>
                </c:pt>
                <c:pt idx="1">
                  <c:v>0</c:v>
                </c:pt>
                <c:pt idx="2">
                  <c:v>11.2</c:v>
                </c:pt>
                <c:pt idx="3">
                  <c:v>30</c:v>
                </c:pt>
                <c:pt idx="4">
                  <c:v>26</c:v>
                </c:pt>
                <c:pt idx="5">
                  <c:v>24</c:v>
                </c:pt>
                <c:pt idx="6">
                  <c:v>30.7</c:v>
                </c:pt>
                <c:pt idx="7">
                  <c:v>18</c:v>
                </c:pt>
                <c:pt idx="8">
                  <c:v>10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8CF-43ED-9E16-288A62C1252C}"/>
            </c:ext>
          </c:extLst>
        </c:ser>
        <c:ser>
          <c:idx val="2"/>
          <c:order val="2"/>
          <c:tx>
            <c:strRef>
              <c:f>'CPU002'!$D$1</c:f>
              <c:strCache>
                <c:ptCount val="1"/>
                <c:pt idx="0">
                  <c:v>Wait%</c:v>
                </c:pt>
              </c:strCache>
            </c:strRef>
          </c:tx>
          <c:invertIfNegative val="0"/>
          <c:cat>
            <c:numRef>
              <c:f>'CPU002'!$A$2:$A$11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'CPU002'!$D$2:$D$11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8CF-43ED-9E16-288A62C1252C}"/>
            </c:ext>
          </c:extLst>
        </c:ser>
        <c:ser>
          <c:idx val="3"/>
          <c:order val="3"/>
          <c:tx>
            <c:strRef>
              <c:f>'CPU002'!$E$1</c:f>
              <c:strCache>
                <c:ptCount val="1"/>
                <c:pt idx="0">
                  <c:v>Idle%</c:v>
                </c:pt>
              </c:strCache>
            </c:strRef>
          </c:tx>
          <c:invertIfNegative val="0"/>
          <c:cat>
            <c:numRef>
              <c:f>'CPU002'!$A$2:$A$11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'CPU002'!$E$2:$E$11</c:f>
              <c:numCache>
                <c:formatCode>General</c:formatCode>
                <c:ptCount val="10"/>
                <c:pt idx="0">
                  <c:v>97.8</c:v>
                </c:pt>
                <c:pt idx="1">
                  <c:v>100</c:v>
                </c:pt>
                <c:pt idx="2">
                  <c:v>80.599999999999994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6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8CF-43ED-9E16-288A62C1252C}"/>
            </c:ext>
          </c:extLst>
        </c:ser>
        <c:ser>
          <c:idx val="4"/>
          <c:order val="4"/>
          <c:tx>
            <c:strRef>
              <c:f>'CPU002'!$F$1</c:f>
              <c:strCache>
                <c:ptCount val="1"/>
                <c:pt idx="0">
                  <c:v>Steal%</c:v>
                </c:pt>
              </c:strCache>
            </c:strRef>
          </c:tx>
          <c:invertIfNegative val="0"/>
          <c:cat>
            <c:numRef>
              <c:f>'CPU002'!$A$2:$A$11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'CPU002'!$F$2:$F$11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8CF-43ED-9E16-288A62C125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586667071"/>
        <c:axId val="586661663"/>
      </c:barChart>
      <c:catAx>
        <c:axId val="586667071"/>
        <c:scaling>
          <c:orientation val="minMax"/>
        </c:scaling>
        <c:delete val="0"/>
        <c:axPos val="b"/>
        <c:numFmt formatCode="hh:mm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586661663"/>
        <c:crosses val="autoZero"/>
        <c:auto val="0"/>
        <c:lblAlgn val="ctr"/>
        <c:lblOffset val="100"/>
        <c:noMultiLvlLbl val="0"/>
      </c:catAx>
      <c:valAx>
        <c:axId val="586661663"/>
        <c:scaling>
          <c:orientation val="minMax"/>
          <c:max val="10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Utilization (%)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586667071"/>
        <c:crosses val="autoZero"/>
        <c:crossBetween val="between"/>
      </c:valAx>
    </c:plotArea>
    <c:legend>
      <c:legendPos val="t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CPU 3 css-xcat4  2/23/2023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'CPU003'!$B$1</c:f>
              <c:strCache>
                <c:ptCount val="1"/>
                <c:pt idx="0">
                  <c:v>User%</c:v>
                </c:pt>
              </c:strCache>
            </c:strRef>
          </c:tx>
          <c:invertIfNegative val="0"/>
          <c:cat>
            <c:numRef>
              <c:f>'CPU003'!$A$2:$A$11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'CPU003'!$B$2:$B$11</c:f>
              <c:numCache>
                <c:formatCode>General</c:formatCode>
                <c:ptCount val="10"/>
                <c:pt idx="0">
                  <c:v>0.8</c:v>
                </c:pt>
                <c:pt idx="1">
                  <c:v>0</c:v>
                </c:pt>
                <c:pt idx="2">
                  <c:v>4</c:v>
                </c:pt>
                <c:pt idx="3">
                  <c:v>64</c:v>
                </c:pt>
                <c:pt idx="4">
                  <c:v>72</c:v>
                </c:pt>
                <c:pt idx="5">
                  <c:v>78.2</c:v>
                </c:pt>
                <c:pt idx="6">
                  <c:v>76.8</c:v>
                </c:pt>
                <c:pt idx="7">
                  <c:v>77.2</c:v>
                </c:pt>
                <c:pt idx="8">
                  <c:v>85.9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DB4-489B-BBBA-5EE2012CE2F9}"/>
            </c:ext>
          </c:extLst>
        </c:ser>
        <c:ser>
          <c:idx val="1"/>
          <c:order val="1"/>
          <c:tx>
            <c:strRef>
              <c:f>'CPU003'!$C$1</c:f>
              <c:strCache>
                <c:ptCount val="1"/>
                <c:pt idx="0">
                  <c:v>Sys%</c:v>
                </c:pt>
              </c:strCache>
            </c:strRef>
          </c:tx>
          <c:invertIfNegative val="0"/>
          <c:cat>
            <c:numRef>
              <c:f>'CPU003'!$A$2:$A$11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'CPU003'!$C$2:$C$11</c:f>
              <c:numCache>
                <c:formatCode>General</c:formatCode>
                <c:ptCount val="10"/>
                <c:pt idx="0">
                  <c:v>2.2999999999999998</c:v>
                </c:pt>
                <c:pt idx="1">
                  <c:v>0</c:v>
                </c:pt>
                <c:pt idx="2">
                  <c:v>19.8</c:v>
                </c:pt>
                <c:pt idx="3">
                  <c:v>36</c:v>
                </c:pt>
                <c:pt idx="4">
                  <c:v>28</c:v>
                </c:pt>
                <c:pt idx="5">
                  <c:v>21.8</c:v>
                </c:pt>
                <c:pt idx="6">
                  <c:v>23.2</c:v>
                </c:pt>
                <c:pt idx="7">
                  <c:v>22.8</c:v>
                </c:pt>
                <c:pt idx="8">
                  <c:v>10.1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DB4-489B-BBBA-5EE2012CE2F9}"/>
            </c:ext>
          </c:extLst>
        </c:ser>
        <c:ser>
          <c:idx val="2"/>
          <c:order val="2"/>
          <c:tx>
            <c:strRef>
              <c:f>'CPU003'!$D$1</c:f>
              <c:strCache>
                <c:ptCount val="1"/>
                <c:pt idx="0">
                  <c:v>Wait%</c:v>
                </c:pt>
              </c:strCache>
            </c:strRef>
          </c:tx>
          <c:invertIfNegative val="0"/>
          <c:cat>
            <c:numRef>
              <c:f>'CPU003'!$A$2:$A$11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'CPU003'!$D$2:$D$11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DB4-489B-BBBA-5EE2012CE2F9}"/>
            </c:ext>
          </c:extLst>
        </c:ser>
        <c:ser>
          <c:idx val="3"/>
          <c:order val="3"/>
          <c:tx>
            <c:strRef>
              <c:f>'CPU003'!$E$1</c:f>
              <c:strCache>
                <c:ptCount val="1"/>
                <c:pt idx="0">
                  <c:v>Idle%</c:v>
                </c:pt>
              </c:strCache>
            </c:strRef>
          </c:tx>
          <c:invertIfNegative val="0"/>
          <c:cat>
            <c:numRef>
              <c:f>'CPU003'!$A$2:$A$11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'CPU003'!$E$2:$E$11</c:f>
              <c:numCache>
                <c:formatCode>General</c:formatCode>
                <c:ptCount val="10"/>
                <c:pt idx="0">
                  <c:v>97</c:v>
                </c:pt>
                <c:pt idx="1">
                  <c:v>100</c:v>
                </c:pt>
                <c:pt idx="2">
                  <c:v>76.2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DB4-489B-BBBA-5EE2012CE2F9}"/>
            </c:ext>
          </c:extLst>
        </c:ser>
        <c:ser>
          <c:idx val="4"/>
          <c:order val="4"/>
          <c:tx>
            <c:strRef>
              <c:f>'CPU003'!$F$1</c:f>
              <c:strCache>
                <c:ptCount val="1"/>
                <c:pt idx="0">
                  <c:v>Steal%</c:v>
                </c:pt>
              </c:strCache>
            </c:strRef>
          </c:tx>
          <c:invertIfNegative val="0"/>
          <c:cat>
            <c:numRef>
              <c:f>'CPU003'!$A$2:$A$11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'CPU003'!$F$2:$F$11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DB4-489B-BBBA-5EE2012CE2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586663743"/>
        <c:axId val="586674143"/>
      </c:barChart>
      <c:catAx>
        <c:axId val="586663743"/>
        <c:scaling>
          <c:orientation val="minMax"/>
        </c:scaling>
        <c:delete val="0"/>
        <c:axPos val="b"/>
        <c:numFmt formatCode="hh:mm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586674143"/>
        <c:crosses val="autoZero"/>
        <c:auto val="0"/>
        <c:lblAlgn val="ctr"/>
        <c:lblOffset val="100"/>
        <c:noMultiLvlLbl val="0"/>
      </c:catAx>
      <c:valAx>
        <c:axId val="586674143"/>
        <c:scaling>
          <c:orientation val="minMax"/>
          <c:max val="10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Utilization (%)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586663743"/>
        <c:crosses val="autoZero"/>
        <c:crossBetween val="between"/>
      </c:valAx>
    </c:plotArea>
    <c:legend>
      <c:legendPos val="t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CPU 4 css-xcat4  2/23/2023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'CPU004'!$B$1</c:f>
              <c:strCache>
                <c:ptCount val="1"/>
                <c:pt idx="0">
                  <c:v>User%</c:v>
                </c:pt>
              </c:strCache>
            </c:strRef>
          </c:tx>
          <c:invertIfNegative val="0"/>
          <c:cat>
            <c:numRef>
              <c:f>'CPU004'!$A$2:$A$11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'CPU004'!$B$2:$B$11</c:f>
              <c:numCache>
                <c:formatCode>General</c:formatCode>
                <c:ptCount val="10"/>
                <c:pt idx="0">
                  <c:v>11.3</c:v>
                </c:pt>
                <c:pt idx="1">
                  <c:v>0</c:v>
                </c:pt>
                <c:pt idx="2">
                  <c:v>5.2</c:v>
                </c:pt>
                <c:pt idx="3">
                  <c:v>72</c:v>
                </c:pt>
                <c:pt idx="4">
                  <c:v>78</c:v>
                </c:pt>
                <c:pt idx="5">
                  <c:v>80</c:v>
                </c:pt>
                <c:pt idx="6">
                  <c:v>80.2</c:v>
                </c:pt>
                <c:pt idx="7">
                  <c:v>82.8</c:v>
                </c:pt>
                <c:pt idx="8">
                  <c:v>84.8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65D-4952-8023-FB764BB31E90}"/>
            </c:ext>
          </c:extLst>
        </c:ser>
        <c:ser>
          <c:idx val="1"/>
          <c:order val="1"/>
          <c:tx>
            <c:strRef>
              <c:f>'CPU004'!$C$1</c:f>
              <c:strCache>
                <c:ptCount val="1"/>
                <c:pt idx="0">
                  <c:v>Sys%</c:v>
                </c:pt>
              </c:strCache>
            </c:strRef>
          </c:tx>
          <c:invertIfNegative val="0"/>
          <c:cat>
            <c:numRef>
              <c:f>'CPU004'!$A$2:$A$11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'CPU004'!$C$2:$C$11</c:f>
              <c:numCache>
                <c:formatCode>General</c:formatCode>
                <c:ptCount val="10"/>
                <c:pt idx="0">
                  <c:v>3</c:v>
                </c:pt>
                <c:pt idx="1">
                  <c:v>0</c:v>
                </c:pt>
                <c:pt idx="2">
                  <c:v>17.5</c:v>
                </c:pt>
                <c:pt idx="3">
                  <c:v>28</c:v>
                </c:pt>
                <c:pt idx="4">
                  <c:v>22</c:v>
                </c:pt>
                <c:pt idx="5">
                  <c:v>20</c:v>
                </c:pt>
                <c:pt idx="6">
                  <c:v>19.8</c:v>
                </c:pt>
                <c:pt idx="7">
                  <c:v>17.2</c:v>
                </c:pt>
                <c:pt idx="8">
                  <c:v>10.1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65D-4952-8023-FB764BB31E90}"/>
            </c:ext>
          </c:extLst>
        </c:ser>
        <c:ser>
          <c:idx val="2"/>
          <c:order val="2"/>
          <c:tx>
            <c:strRef>
              <c:f>'CPU004'!$D$1</c:f>
              <c:strCache>
                <c:ptCount val="1"/>
                <c:pt idx="0">
                  <c:v>Wait%</c:v>
                </c:pt>
              </c:strCache>
            </c:strRef>
          </c:tx>
          <c:invertIfNegative val="0"/>
          <c:cat>
            <c:numRef>
              <c:f>'CPU004'!$A$2:$A$11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'CPU004'!$D$2:$D$11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65D-4952-8023-FB764BB31E90}"/>
            </c:ext>
          </c:extLst>
        </c:ser>
        <c:ser>
          <c:idx val="3"/>
          <c:order val="3"/>
          <c:tx>
            <c:strRef>
              <c:f>'CPU004'!$E$1</c:f>
              <c:strCache>
                <c:ptCount val="1"/>
                <c:pt idx="0">
                  <c:v>Idle%</c:v>
                </c:pt>
              </c:strCache>
            </c:strRef>
          </c:tx>
          <c:invertIfNegative val="0"/>
          <c:cat>
            <c:numRef>
              <c:f>'CPU004'!$A$2:$A$11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'CPU004'!$E$2:$E$11</c:f>
              <c:numCache>
                <c:formatCode>General</c:formatCode>
                <c:ptCount val="10"/>
                <c:pt idx="0">
                  <c:v>85.7</c:v>
                </c:pt>
                <c:pt idx="1">
                  <c:v>100</c:v>
                </c:pt>
                <c:pt idx="2">
                  <c:v>77.3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5.0999999999999996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65D-4952-8023-FB764BB31E90}"/>
            </c:ext>
          </c:extLst>
        </c:ser>
        <c:ser>
          <c:idx val="4"/>
          <c:order val="4"/>
          <c:tx>
            <c:strRef>
              <c:f>'CPU004'!$F$1</c:f>
              <c:strCache>
                <c:ptCount val="1"/>
                <c:pt idx="0">
                  <c:v>Steal%</c:v>
                </c:pt>
              </c:strCache>
            </c:strRef>
          </c:tx>
          <c:invertIfNegative val="0"/>
          <c:cat>
            <c:numRef>
              <c:f>'CPU004'!$A$2:$A$11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'CPU004'!$F$2:$F$11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65D-4952-8023-FB764BB31E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586667903"/>
        <c:axId val="586675807"/>
      </c:barChart>
      <c:catAx>
        <c:axId val="586667903"/>
        <c:scaling>
          <c:orientation val="minMax"/>
        </c:scaling>
        <c:delete val="0"/>
        <c:axPos val="b"/>
        <c:numFmt formatCode="hh:mm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586675807"/>
        <c:crosses val="autoZero"/>
        <c:auto val="0"/>
        <c:lblAlgn val="ctr"/>
        <c:lblOffset val="100"/>
        <c:noMultiLvlLbl val="0"/>
      </c:catAx>
      <c:valAx>
        <c:axId val="586675807"/>
        <c:scaling>
          <c:orientation val="minMax"/>
          <c:max val="10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Utilization (%)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586667903"/>
        <c:crosses val="autoZero"/>
        <c:crossBetween val="between"/>
      </c:valAx>
    </c:plotArea>
    <c:legend>
      <c:legendPos val="t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CPU 5 css-xcat4  2/23/2023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'CPU005'!$B$1</c:f>
              <c:strCache>
                <c:ptCount val="1"/>
                <c:pt idx="0">
                  <c:v>User%</c:v>
                </c:pt>
              </c:strCache>
            </c:strRef>
          </c:tx>
          <c:invertIfNegative val="0"/>
          <c:cat>
            <c:numRef>
              <c:f>'CPU005'!$A$2:$A$11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'CPU005'!$B$2:$B$11</c:f>
              <c:numCache>
                <c:formatCode>General</c:formatCode>
                <c:ptCount val="10"/>
                <c:pt idx="0">
                  <c:v>0.8</c:v>
                </c:pt>
                <c:pt idx="1">
                  <c:v>0</c:v>
                </c:pt>
                <c:pt idx="2">
                  <c:v>8.1999999999999993</c:v>
                </c:pt>
                <c:pt idx="3">
                  <c:v>71</c:v>
                </c:pt>
                <c:pt idx="4">
                  <c:v>80</c:v>
                </c:pt>
                <c:pt idx="5">
                  <c:v>79</c:v>
                </c:pt>
                <c:pt idx="6">
                  <c:v>79</c:v>
                </c:pt>
                <c:pt idx="7">
                  <c:v>82</c:v>
                </c:pt>
                <c:pt idx="8">
                  <c:v>82.2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3CE-4BA0-9BFE-10605FDED1A4}"/>
            </c:ext>
          </c:extLst>
        </c:ser>
        <c:ser>
          <c:idx val="1"/>
          <c:order val="1"/>
          <c:tx>
            <c:strRef>
              <c:f>'CPU005'!$C$1</c:f>
              <c:strCache>
                <c:ptCount val="1"/>
                <c:pt idx="0">
                  <c:v>Sys%</c:v>
                </c:pt>
              </c:strCache>
            </c:strRef>
          </c:tx>
          <c:invertIfNegative val="0"/>
          <c:cat>
            <c:numRef>
              <c:f>'CPU005'!$A$2:$A$11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'CPU005'!$C$2:$C$11</c:f>
              <c:numCache>
                <c:formatCode>General</c:formatCode>
                <c:ptCount val="10"/>
                <c:pt idx="0">
                  <c:v>1.5</c:v>
                </c:pt>
                <c:pt idx="1">
                  <c:v>0</c:v>
                </c:pt>
                <c:pt idx="2">
                  <c:v>10.199999999999999</c:v>
                </c:pt>
                <c:pt idx="3">
                  <c:v>29</c:v>
                </c:pt>
                <c:pt idx="4">
                  <c:v>20</c:v>
                </c:pt>
                <c:pt idx="5">
                  <c:v>21</c:v>
                </c:pt>
                <c:pt idx="6">
                  <c:v>21</c:v>
                </c:pt>
                <c:pt idx="7">
                  <c:v>18</c:v>
                </c:pt>
                <c:pt idx="8">
                  <c:v>13.9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3CE-4BA0-9BFE-10605FDED1A4}"/>
            </c:ext>
          </c:extLst>
        </c:ser>
        <c:ser>
          <c:idx val="2"/>
          <c:order val="2"/>
          <c:tx>
            <c:strRef>
              <c:f>'CPU005'!$D$1</c:f>
              <c:strCache>
                <c:ptCount val="1"/>
                <c:pt idx="0">
                  <c:v>Wait%</c:v>
                </c:pt>
              </c:strCache>
            </c:strRef>
          </c:tx>
          <c:invertIfNegative val="0"/>
          <c:cat>
            <c:numRef>
              <c:f>'CPU005'!$A$2:$A$11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'CPU005'!$D$2:$D$11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3CE-4BA0-9BFE-10605FDED1A4}"/>
            </c:ext>
          </c:extLst>
        </c:ser>
        <c:ser>
          <c:idx val="3"/>
          <c:order val="3"/>
          <c:tx>
            <c:strRef>
              <c:f>'CPU005'!$E$1</c:f>
              <c:strCache>
                <c:ptCount val="1"/>
                <c:pt idx="0">
                  <c:v>Idle%</c:v>
                </c:pt>
              </c:strCache>
            </c:strRef>
          </c:tx>
          <c:invertIfNegative val="0"/>
          <c:cat>
            <c:numRef>
              <c:f>'CPU005'!$A$2:$A$11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'CPU005'!$E$2:$E$11</c:f>
              <c:numCache>
                <c:formatCode>General</c:formatCode>
                <c:ptCount val="10"/>
                <c:pt idx="0">
                  <c:v>97.7</c:v>
                </c:pt>
                <c:pt idx="1">
                  <c:v>100</c:v>
                </c:pt>
                <c:pt idx="2">
                  <c:v>81.599999999999994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</c:v>
                </c:pt>
                <c:pt idx="9">
                  <c:v>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3CE-4BA0-9BFE-10605FDED1A4}"/>
            </c:ext>
          </c:extLst>
        </c:ser>
        <c:ser>
          <c:idx val="4"/>
          <c:order val="4"/>
          <c:tx>
            <c:strRef>
              <c:f>'CPU005'!$F$1</c:f>
              <c:strCache>
                <c:ptCount val="1"/>
                <c:pt idx="0">
                  <c:v>Steal%</c:v>
                </c:pt>
              </c:strCache>
            </c:strRef>
          </c:tx>
          <c:invertIfNegative val="0"/>
          <c:cat>
            <c:numRef>
              <c:f>'CPU005'!$A$2:$A$11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'CPU005'!$F$2:$F$11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3CE-4BA0-9BFE-10605FDED1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586664159"/>
        <c:axId val="586669567"/>
      </c:barChart>
      <c:catAx>
        <c:axId val="586664159"/>
        <c:scaling>
          <c:orientation val="minMax"/>
        </c:scaling>
        <c:delete val="0"/>
        <c:axPos val="b"/>
        <c:numFmt formatCode="hh:mm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586669567"/>
        <c:crosses val="autoZero"/>
        <c:auto val="0"/>
        <c:lblAlgn val="ctr"/>
        <c:lblOffset val="100"/>
        <c:noMultiLvlLbl val="0"/>
      </c:catAx>
      <c:valAx>
        <c:axId val="586669567"/>
        <c:scaling>
          <c:orientation val="minMax"/>
          <c:max val="10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Utilization (%)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586664159"/>
        <c:crosses val="autoZero"/>
        <c:crossBetween val="between"/>
      </c:valAx>
    </c:plotArea>
    <c:legend>
      <c:legendPos val="t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CPU 6 css-xcat4  2/23/2023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'CPU006'!$B$1</c:f>
              <c:strCache>
                <c:ptCount val="1"/>
                <c:pt idx="0">
                  <c:v>User%</c:v>
                </c:pt>
              </c:strCache>
            </c:strRef>
          </c:tx>
          <c:invertIfNegative val="0"/>
          <c:cat>
            <c:numRef>
              <c:f>'CPU006'!$A$2:$A$11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'CPU006'!$B$2:$B$11</c:f>
              <c:numCache>
                <c:formatCode>General</c:formatCode>
                <c:ptCount val="10"/>
                <c:pt idx="0">
                  <c:v>3</c:v>
                </c:pt>
                <c:pt idx="1">
                  <c:v>0</c:v>
                </c:pt>
                <c:pt idx="2">
                  <c:v>5.0999999999999996</c:v>
                </c:pt>
                <c:pt idx="3">
                  <c:v>73.3</c:v>
                </c:pt>
                <c:pt idx="4">
                  <c:v>73.7</c:v>
                </c:pt>
                <c:pt idx="5">
                  <c:v>75</c:v>
                </c:pt>
                <c:pt idx="6">
                  <c:v>71</c:v>
                </c:pt>
                <c:pt idx="7">
                  <c:v>78.2</c:v>
                </c:pt>
                <c:pt idx="8">
                  <c:v>86.9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338-4D44-8251-E52E6F723680}"/>
            </c:ext>
          </c:extLst>
        </c:ser>
        <c:ser>
          <c:idx val="1"/>
          <c:order val="1"/>
          <c:tx>
            <c:strRef>
              <c:f>'CPU006'!$C$1</c:f>
              <c:strCache>
                <c:ptCount val="1"/>
                <c:pt idx="0">
                  <c:v>Sys%</c:v>
                </c:pt>
              </c:strCache>
            </c:strRef>
          </c:tx>
          <c:invertIfNegative val="0"/>
          <c:cat>
            <c:numRef>
              <c:f>'CPU006'!$A$2:$A$11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'CPU006'!$C$2:$C$11</c:f>
              <c:numCache>
                <c:formatCode>General</c:formatCode>
                <c:ptCount val="10"/>
                <c:pt idx="0">
                  <c:v>3</c:v>
                </c:pt>
                <c:pt idx="1">
                  <c:v>0</c:v>
                </c:pt>
                <c:pt idx="2">
                  <c:v>15.2</c:v>
                </c:pt>
                <c:pt idx="3">
                  <c:v>26.7</c:v>
                </c:pt>
                <c:pt idx="4">
                  <c:v>26.3</c:v>
                </c:pt>
                <c:pt idx="5">
                  <c:v>25</c:v>
                </c:pt>
                <c:pt idx="6">
                  <c:v>29</c:v>
                </c:pt>
                <c:pt idx="7">
                  <c:v>21.8</c:v>
                </c:pt>
                <c:pt idx="8">
                  <c:v>8.1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338-4D44-8251-E52E6F723680}"/>
            </c:ext>
          </c:extLst>
        </c:ser>
        <c:ser>
          <c:idx val="2"/>
          <c:order val="2"/>
          <c:tx>
            <c:strRef>
              <c:f>'CPU006'!$D$1</c:f>
              <c:strCache>
                <c:ptCount val="1"/>
                <c:pt idx="0">
                  <c:v>Wait%</c:v>
                </c:pt>
              </c:strCache>
            </c:strRef>
          </c:tx>
          <c:invertIfNegative val="0"/>
          <c:cat>
            <c:numRef>
              <c:f>'CPU006'!$A$2:$A$11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'CPU006'!$D$2:$D$11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338-4D44-8251-E52E6F723680}"/>
            </c:ext>
          </c:extLst>
        </c:ser>
        <c:ser>
          <c:idx val="3"/>
          <c:order val="3"/>
          <c:tx>
            <c:strRef>
              <c:f>'CPU006'!$E$1</c:f>
              <c:strCache>
                <c:ptCount val="1"/>
                <c:pt idx="0">
                  <c:v>Idle%</c:v>
                </c:pt>
              </c:strCache>
            </c:strRef>
          </c:tx>
          <c:invertIfNegative val="0"/>
          <c:cat>
            <c:numRef>
              <c:f>'CPU006'!$A$2:$A$11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'CPU006'!$E$2:$E$11</c:f>
              <c:numCache>
                <c:formatCode>General</c:formatCode>
                <c:ptCount val="10"/>
                <c:pt idx="0">
                  <c:v>94</c:v>
                </c:pt>
                <c:pt idx="1">
                  <c:v>100</c:v>
                </c:pt>
                <c:pt idx="2">
                  <c:v>79.8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5.0999999999999996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338-4D44-8251-E52E6F723680}"/>
            </c:ext>
          </c:extLst>
        </c:ser>
        <c:ser>
          <c:idx val="4"/>
          <c:order val="4"/>
          <c:tx>
            <c:strRef>
              <c:f>'CPU006'!$F$1</c:f>
              <c:strCache>
                <c:ptCount val="1"/>
                <c:pt idx="0">
                  <c:v>Steal%</c:v>
                </c:pt>
              </c:strCache>
            </c:strRef>
          </c:tx>
          <c:invertIfNegative val="0"/>
          <c:cat>
            <c:numRef>
              <c:f>'CPU006'!$A$2:$A$11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'CPU006'!$F$2:$F$11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338-4D44-8251-E52E6F7236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586682047"/>
        <c:axId val="586663327"/>
      </c:barChart>
      <c:catAx>
        <c:axId val="586682047"/>
        <c:scaling>
          <c:orientation val="minMax"/>
        </c:scaling>
        <c:delete val="0"/>
        <c:axPos val="b"/>
        <c:numFmt formatCode="hh:mm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586663327"/>
        <c:crosses val="autoZero"/>
        <c:auto val="0"/>
        <c:lblAlgn val="ctr"/>
        <c:lblOffset val="100"/>
        <c:noMultiLvlLbl val="0"/>
      </c:catAx>
      <c:valAx>
        <c:axId val="586663327"/>
        <c:scaling>
          <c:orientation val="minMax"/>
          <c:max val="10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Utilization (%)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586682047"/>
        <c:crosses val="autoZero"/>
        <c:crossBetween val="between"/>
      </c:valAx>
    </c:plotArea>
    <c:legend>
      <c:legendPos val="t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CPU 7 css-xcat4  2/23/2023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'CPU007'!$B$1</c:f>
              <c:strCache>
                <c:ptCount val="1"/>
                <c:pt idx="0">
                  <c:v>User%</c:v>
                </c:pt>
              </c:strCache>
            </c:strRef>
          </c:tx>
          <c:invertIfNegative val="0"/>
          <c:cat>
            <c:numRef>
              <c:f>'CPU007'!$A$2:$A$11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'CPU007'!$B$2:$B$11</c:f>
              <c:numCache>
                <c:formatCode>General</c:formatCode>
                <c:ptCount val="10"/>
                <c:pt idx="0">
                  <c:v>0.7</c:v>
                </c:pt>
                <c:pt idx="1">
                  <c:v>0</c:v>
                </c:pt>
                <c:pt idx="2">
                  <c:v>7.1</c:v>
                </c:pt>
                <c:pt idx="3">
                  <c:v>68</c:v>
                </c:pt>
                <c:pt idx="4">
                  <c:v>78</c:v>
                </c:pt>
                <c:pt idx="5">
                  <c:v>84.2</c:v>
                </c:pt>
                <c:pt idx="6">
                  <c:v>81.8</c:v>
                </c:pt>
                <c:pt idx="7">
                  <c:v>83</c:v>
                </c:pt>
                <c:pt idx="8">
                  <c:v>86.1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B1C-43C4-A0D5-6E52CDDF38BF}"/>
            </c:ext>
          </c:extLst>
        </c:ser>
        <c:ser>
          <c:idx val="1"/>
          <c:order val="1"/>
          <c:tx>
            <c:strRef>
              <c:f>'CPU007'!$C$1</c:f>
              <c:strCache>
                <c:ptCount val="1"/>
                <c:pt idx="0">
                  <c:v>Sys%</c:v>
                </c:pt>
              </c:strCache>
            </c:strRef>
          </c:tx>
          <c:invertIfNegative val="0"/>
          <c:cat>
            <c:numRef>
              <c:f>'CPU007'!$A$2:$A$11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'CPU007'!$C$2:$C$11</c:f>
              <c:numCache>
                <c:formatCode>General</c:formatCode>
                <c:ptCount val="10"/>
                <c:pt idx="0">
                  <c:v>2.2000000000000002</c:v>
                </c:pt>
                <c:pt idx="1">
                  <c:v>0</c:v>
                </c:pt>
                <c:pt idx="2">
                  <c:v>13.1</c:v>
                </c:pt>
                <c:pt idx="3">
                  <c:v>32</c:v>
                </c:pt>
                <c:pt idx="4">
                  <c:v>22</c:v>
                </c:pt>
                <c:pt idx="5">
                  <c:v>15.8</c:v>
                </c:pt>
                <c:pt idx="6">
                  <c:v>18.2</c:v>
                </c:pt>
                <c:pt idx="7">
                  <c:v>17</c:v>
                </c:pt>
                <c:pt idx="8">
                  <c:v>8.9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B1C-43C4-A0D5-6E52CDDF38BF}"/>
            </c:ext>
          </c:extLst>
        </c:ser>
        <c:ser>
          <c:idx val="2"/>
          <c:order val="2"/>
          <c:tx>
            <c:strRef>
              <c:f>'CPU007'!$D$1</c:f>
              <c:strCache>
                <c:ptCount val="1"/>
                <c:pt idx="0">
                  <c:v>Wait%</c:v>
                </c:pt>
              </c:strCache>
            </c:strRef>
          </c:tx>
          <c:invertIfNegative val="0"/>
          <c:cat>
            <c:numRef>
              <c:f>'CPU007'!$A$2:$A$11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'CPU007'!$D$2:$D$11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B1C-43C4-A0D5-6E52CDDF38BF}"/>
            </c:ext>
          </c:extLst>
        </c:ser>
        <c:ser>
          <c:idx val="3"/>
          <c:order val="3"/>
          <c:tx>
            <c:strRef>
              <c:f>'CPU007'!$E$1</c:f>
              <c:strCache>
                <c:ptCount val="1"/>
                <c:pt idx="0">
                  <c:v>Idle%</c:v>
                </c:pt>
              </c:strCache>
            </c:strRef>
          </c:tx>
          <c:invertIfNegative val="0"/>
          <c:cat>
            <c:numRef>
              <c:f>'CPU007'!$A$2:$A$11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'CPU007'!$E$2:$E$11</c:f>
              <c:numCache>
                <c:formatCode>General</c:formatCode>
                <c:ptCount val="10"/>
                <c:pt idx="0">
                  <c:v>97</c:v>
                </c:pt>
                <c:pt idx="1">
                  <c:v>100</c:v>
                </c:pt>
                <c:pt idx="2">
                  <c:v>79.8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B1C-43C4-A0D5-6E52CDDF38BF}"/>
            </c:ext>
          </c:extLst>
        </c:ser>
        <c:ser>
          <c:idx val="4"/>
          <c:order val="4"/>
          <c:tx>
            <c:strRef>
              <c:f>'CPU007'!$F$1</c:f>
              <c:strCache>
                <c:ptCount val="1"/>
                <c:pt idx="0">
                  <c:v>Steal%</c:v>
                </c:pt>
              </c:strCache>
            </c:strRef>
          </c:tx>
          <c:invertIfNegative val="0"/>
          <c:cat>
            <c:numRef>
              <c:f>'CPU007'!$A$2:$A$11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'CPU007'!$F$2:$F$11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B1C-43C4-A0D5-6E52CDDF38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586683711"/>
        <c:axId val="586662911"/>
      </c:barChart>
      <c:catAx>
        <c:axId val="586683711"/>
        <c:scaling>
          <c:orientation val="minMax"/>
        </c:scaling>
        <c:delete val="0"/>
        <c:axPos val="b"/>
        <c:numFmt formatCode="hh:mm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586662911"/>
        <c:crosses val="autoZero"/>
        <c:auto val="0"/>
        <c:lblAlgn val="ctr"/>
        <c:lblOffset val="100"/>
        <c:noMultiLvlLbl val="0"/>
      </c:catAx>
      <c:valAx>
        <c:axId val="586662911"/>
        <c:scaling>
          <c:orientation val="minMax"/>
          <c:max val="10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Utilization (%)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586683711"/>
        <c:crosses val="autoZero"/>
        <c:crossBetween val="between"/>
      </c:valAx>
    </c:plotArea>
    <c:legend>
      <c:legendPos val="t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CPU 8 css-xcat4  2/23/2023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'CPU008'!$B$1</c:f>
              <c:strCache>
                <c:ptCount val="1"/>
                <c:pt idx="0">
                  <c:v>User%</c:v>
                </c:pt>
              </c:strCache>
            </c:strRef>
          </c:tx>
          <c:invertIfNegative val="0"/>
          <c:cat>
            <c:numRef>
              <c:f>'CPU008'!$A$2:$A$11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'CPU008'!$B$2:$B$11</c:f>
              <c:numCache>
                <c:formatCode>General</c:formatCode>
                <c:ptCount val="10"/>
                <c:pt idx="0">
                  <c:v>2.2999999999999998</c:v>
                </c:pt>
                <c:pt idx="1">
                  <c:v>0</c:v>
                </c:pt>
                <c:pt idx="2">
                  <c:v>8.6999999999999993</c:v>
                </c:pt>
                <c:pt idx="3">
                  <c:v>69</c:v>
                </c:pt>
                <c:pt idx="4">
                  <c:v>69</c:v>
                </c:pt>
                <c:pt idx="5">
                  <c:v>82</c:v>
                </c:pt>
                <c:pt idx="6">
                  <c:v>82</c:v>
                </c:pt>
                <c:pt idx="7">
                  <c:v>82</c:v>
                </c:pt>
                <c:pt idx="8">
                  <c:v>81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32D-4CA9-8D93-B47150A535A8}"/>
            </c:ext>
          </c:extLst>
        </c:ser>
        <c:ser>
          <c:idx val="1"/>
          <c:order val="1"/>
          <c:tx>
            <c:strRef>
              <c:f>'CPU008'!$C$1</c:f>
              <c:strCache>
                <c:ptCount val="1"/>
                <c:pt idx="0">
                  <c:v>Sys%</c:v>
                </c:pt>
              </c:strCache>
            </c:strRef>
          </c:tx>
          <c:invertIfNegative val="0"/>
          <c:cat>
            <c:numRef>
              <c:f>'CPU008'!$A$2:$A$11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'CPU008'!$C$2:$C$11</c:f>
              <c:numCache>
                <c:formatCode>General</c:formatCode>
                <c:ptCount val="10"/>
                <c:pt idx="0">
                  <c:v>3.8</c:v>
                </c:pt>
                <c:pt idx="1">
                  <c:v>0</c:v>
                </c:pt>
                <c:pt idx="2">
                  <c:v>18.3</c:v>
                </c:pt>
                <c:pt idx="3">
                  <c:v>31</c:v>
                </c:pt>
                <c:pt idx="4">
                  <c:v>31</c:v>
                </c:pt>
                <c:pt idx="5">
                  <c:v>18</c:v>
                </c:pt>
                <c:pt idx="6">
                  <c:v>18</c:v>
                </c:pt>
                <c:pt idx="7">
                  <c:v>18</c:v>
                </c:pt>
                <c:pt idx="8">
                  <c:v>14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32D-4CA9-8D93-B47150A535A8}"/>
            </c:ext>
          </c:extLst>
        </c:ser>
        <c:ser>
          <c:idx val="2"/>
          <c:order val="2"/>
          <c:tx>
            <c:strRef>
              <c:f>'CPU008'!$D$1</c:f>
              <c:strCache>
                <c:ptCount val="1"/>
                <c:pt idx="0">
                  <c:v>Wait%</c:v>
                </c:pt>
              </c:strCache>
            </c:strRef>
          </c:tx>
          <c:invertIfNegative val="0"/>
          <c:cat>
            <c:numRef>
              <c:f>'CPU008'!$A$2:$A$11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'CPU008'!$D$2:$D$11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32D-4CA9-8D93-B47150A535A8}"/>
            </c:ext>
          </c:extLst>
        </c:ser>
        <c:ser>
          <c:idx val="3"/>
          <c:order val="3"/>
          <c:tx>
            <c:strRef>
              <c:f>'CPU008'!$E$1</c:f>
              <c:strCache>
                <c:ptCount val="1"/>
                <c:pt idx="0">
                  <c:v>Idle%</c:v>
                </c:pt>
              </c:strCache>
            </c:strRef>
          </c:tx>
          <c:invertIfNegative val="0"/>
          <c:cat>
            <c:numRef>
              <c:f>'CPU008'!$A$2:$A$11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'CPU008'!$E$2:$E$11</c:f>
              <c:numCache>
                <c:formatCode>General</c:formatCode>
                <c:ptCount val="10"/>
                <c:pt idx="0">
                  <c:v>94</c:v>
                </c:pt>
                <c:pt idx="1">
                  <c:v>100</c:v>
                </c:pt>
                <c:pt idx="2">
                  <c:v>73.099999999999994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32D-4CA9-8D93-B47150A535A8}"/>
            </c:ext>
          </c:extLst>
        </c:ser>
        <c:ser>
          <c:idx val="4"/>
          <c:order val="4"/>
          <c:tx>
            <c:strRef>
              <c:f>'CPU008'!$F$1</c:f>
              <c:strCache>
                <c:ptCount val="1"/>
                <c:pt idx="0">
                  <c:v>Steal%</c:v>
                </c:pt>
              </c:strCache>
            </c:strRef>
          </c:tx>
          <c:invertIfNegative val="0"/>
          <c:cat>
            <c:numRef>
              <c:f>'CPU008'!$A$2:$A$11</c:f>
              <c:numCache>
                <c:formatCode>h:mm:ss</c:formatCode>
                <c:ptCount val="10"/>
                <c:pt idx="0">
                  <c:v>44980.701215277775</c:v>
                </c:pt>
                <c:pt idx="1">
                  <c:v>44980.701226851852</c:v>
                </c:pt>
                <c:pt idx="2">
                  <c:v>44980.701238425929</c:v>
                </c:pt>
                <c:pt idx="3">
                  <c:v>44980.701249999998</c:v>
                </c:pt>
                <c:pt idx="4">
                  <c:v>44980.701261574075</c:v>
                </c:pt>
                <c:pt idx="5">
                  <c:v>44980.701273148145</c:v>
                </c:pt>
                <c:pt idx="6">
                  <c:v>44980.701284722221</c:v>
                </c:pt>
                <c:pt idx="7">
                  <c:v>44980.701296296298</c:v>
                </c:pt>
                <c:pt idx="8">
                  <c:v>44980.701307870368</c:v>
                </c:pt>
                <c:pt idx="9">
                  <c:v>44980.701319444444</c:v>
                </c:pt>
              </c:numCache>
            </c:numRef>
          </c:cat>
          <c:val>
            <c:numRef>
              <c:f>'CPU008'!$F$2:$F$11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32D-4CA9-8D93-B47150A535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586668735"/>
        <c:axId val="586659167"/>
      </c:barChart>
      <c:catAx>
        <c:axId val="586668735"/>
        <c:scaling>
          <c:orientation val="minMax"/>
        </c:scaling>
        <c:delete val="0"/>
        <c:axPos val="b"/>
        <c:numFmt formatCode="hh:mm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586659167"/>
        <c:crosses val="autoZero"/>
        <c:auto val="0"/>
        <c:lblAlgn val="ctr"/>
        <c:lblOffset val="100"/>
        <c:noMultiLvlLbl val="0"/>
      </c:catAx>
      <c:valAx>
        <c:axId val="586659167"/>
        <c:scaling>
          <c:orientation val="minMax"/>
          <c:max val="10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Utilization (%)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586668735"/>
        <c:crosses val="autoZero"/>
        <c:crossBetween val="between"/>
      </c:valAx>
    </c:plotArea>
    <c:legend>
      <c:legendPos val="t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3.xml"/><Relationship Id="rId1" Type="http://schemas.openxmlformats.org/officeDocument/2006/relationships/chart" Target="../charts/chart22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6.xml"/><Relationship Id="rId2" Type="http://schemas.openxmlformats.org/officeDocument/2006/relationships/chart" Target="../charts/chart25.xml"/><Relationship Id="rId1" Type="http://schemas.openxmlformats.org/officeDocument/2006/relationships/chart" Target="../charts/chart24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9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0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1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2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3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4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5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12700</xdr:rowOff>
    </xdr:from>
    <xdr:to>
      <xdr:col>17</xdr:col>
      <xdr:colOff>327660</xdr:colOff>
      <xdr:row>23</xdr:row>
      <xdr:rowOff>2540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EDC3CB-529C-1CE2-4032-B2B77F65F9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12</xdr:row>
      <xdr:rowOff>12700</xdr:rowOff>
    </xdr:from>
    <xdr:to>
      <xdr:col>16</xdr:col>
      <xdr:colOff>121920</xdr:colOff>
      <xdr:row>34</xdr:row>
      <xdr:rowOff>2540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328A91-8FB8-5F9C-AC74-1D709F91E6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</xdr:col>
      <xdr:colOff>0</xdr:colOff>
      <xdr:row>34</xdr:row>
      <xdr:rowOff>15240</xdr:rowOff>
    </xdr:from>
    <xdr:to>
      <xdr:col>16</xdr:col>
      <xdr:colOff>121920</xdr:colOff>
      <xdr:row>56</xdr:row>
      <xdr:rowOff>5080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260A55A-DF29-8CE1-86B4-313D3E396B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12</xdr:row>
      <xdr:rowOff>12700</xdr:rowOff>
    </xdr:from>
    <xdr:to>
      <xdr:col>17</xdr:col>
      <xdr:colOff>45720</xdr:colOff>
      <xdr:row>34</xdr:row>
      <xdr:rowOff>2540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FC2DD6-8F3F-C956-E680-5ED71D7EE6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9</xdr:row>
      <xdr:rowOff>12700</xdr:rowOff>
    </xdr:from>
    <xdr:to>
      <xdr:col>17</xdr:col>
      <xdr:colOff>45720</xdr:colOff>
      <xdr:row>31</xdr:row>
      <xdr:rowOff>2540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CB7281-C4E2-7784-93F2-D66F44E30F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12</xdr:row>
      <xdr:rowOff>12700</xdr:rowOff>
    </xdr:from>
    <xdr:to>
      <xdr:col>19</xdr:col>
      <xdr:colOff>127000</xdr:colOff>
      <xdr:row>34</xdr:row>
      <xdr:rowOff>2540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930654-4F4F-50F1-5A19-F4A08B36D0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</xdr:col>
      <xdr:colOff>0</xdr:colOff>
      <xdr:row>34</xdr:row>
      <xdr:rowOff>15240</xdr:rowOff>
    </xdr:from>
    <xdr:to>
      <xdr:col>19</xdr:col>
      <xdr:colOff>127000</xdr:colOff>
      <xdr:row>56</xdr:row>
      <xdr:rowOff>5080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5D19A43-7236-EE12-EFBB-77B2727761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12</xdr:row>
      <xdr:rowOff>12700</xdr:rowOff>
    </xdr:from>
    <xdr:to>
      <xdr:col>19</xdr:col>
      <xdr:colOff>127000</xdr:colOff>
      <xdr:row>34</xdr:row>
      <xdr:rowOff>2540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B48E65-EC4C-84A9-85F0-D0439161D0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</xdr:col>
      <xdr:colOff>0</xdr:colOff>
      <xdr:row>34</xdr:row>
      <xdr:rowOff>15240</xdr:rowOff>
    </xdr:from>
    <xdr:to>
      <xdr:col>19</xdr:col>
      <xdr:colOff>127000</xdr:colOff>
      <xdr:row>56</xdr:row>
      <xdr:rowOff>5080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583D708-A5EC-F44F-2832-39A928739C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12</xdr:row>
      <xdr:rowOff>12700</xdr:rowOff>
    </xdr:from>
    <xdr:to>
      <xdr:col>19</xdr:col>
      <xdr:colOff>127000</xdr:colOff>
      <xdr:row>34</xdr:row>
      <xdr:rowOff>2540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EB3E65-8B7B-996B-6BF5-58EA3297E4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</xdr:col>
      <xdr:colOff>0</xdr:colOff>
      <xdr:row>34</xdr:row>
      <xdr:rowOff>15240</xdr:rowOff>
    </xdr:from>
    <xdr:to>
      <xdr:col>19</xdr:col>
      <xdr:colOff>127000</xdr:colOff>
      <xdr:row>56</xdr:row>
      <xdr:rowOff>5080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516ED3F-4DEC-E775-F713-1FB6E744F8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12</xdr:row>
      <xdr:rowOff>12700</xdr:rowOff>
    </xdr:from>
    <xdr:to>
      <xdr:col>19</xdr:col>
      <xdr:colOff>127000</xdr:colOff>
      <xdr:row>34</xdr:row>
      <xdr:rowOff>2540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59530A-694D-9137-4EA0-97D5A2FEED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</xdr:col>
      <xdr:colOff>0</xdr:colOff>
      <xdr:row>34</xdr:row>
      <xdr:rowOff>15240</xdr:rowOff>
    </xdr:from>
    <xdr:to>
      <xdr:col>19</xdr:col>
      <xdr:colOff>127000</xdr:colOff>
      <xdr:row>56</xdr:row>
      <xdr:rowOff>5080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5B2A301-7E8A-4CCC-5C7C-BAACA08BA5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12</xdr:row>
      <xdr:rowOff>12700</xdr:rowOff>
    </xdr:from>
    <xdr:to>
      <xdr:col>19</xdr:col>
      <xdr:colOff>127000</xdr:colOff>
      <xdr:row>34</xdr:row>
      <xdr:rowOff>2540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06B3F0-DDEA-A073-D16F-ADFEDFDCD2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</xdr:col>
      <xdr:colOff>0</xdr:colOff>
      <xdr:row>34</xdr:row>
      <xdr:rowOff>15240</xdr:rowOff>
    </xdr:from>
    <xdr:to>
      <xdr:col>19</xdr:col>
      <xdr:colOff>127000</xdr:colOff>
      <xdr:row>56</xdr:row>
      <xdr:rowOff>5080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0348134-F0F9-B9AC-0ACF-37E6A47C33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12</xdr:row>
      <xdr:rowOff>12700</xdr:rowOff>
    </xdr:from>
    <xdr:to>
      <xdr:col>17</xdr:col>
      <xdr:colOff>45720</xdr:colOff>
      <xdr:row>34</xdr:row>
      <xdr:rowOff>2540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124FA2-A768-F75D-115C-EDD1C1A553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12</xdr:row>
      <xdr:rowOff>12700</xdr:rowOff>
    </xdr:from>
    <xdr:to>
      <xdr:col>18</xdr:col>
      <xdr:colOff>160020</xdr:colOff>
      <xdr:row>34</xdr:row>
      <xdr:rowOff>2540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60ED53-CC98-B6F9-942E-DCE61271E9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</xdr:col>
      <xdr:colOff>0</xdr:colOff>
      <xdr:row>34</xdr:row>
      <xdr:rowOff>15240</xdr:rowOff>
    </xdr:from>
    <xdr:to>
      <xdr:col>18</xdr:col>
      <xdr:colOff>160020</xdr:colOff>
      <xdr:row>56</xdr:row>
      <xdr:rowOff>5080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BF3969A-C5E0-4565-D70C-2D5BA6D33B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12</xdr:row>
      <xdr:rowOff>12700</xdr:rowOff>
    </xdr:from>
    <xdr:to>
      <xdr:col>17</xdr:col>
      <xdr:colOff>45720</xdr:colOff>
      <xdr:row>34</xdr:row>
      <xdr:rowOff>2540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8FDC00-CB1D-2A5E-2C2E-B759D96F64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</xdr:col>
      <xdr:colOff>0</xdr:colOff>
      <xdr:row>34</xdr:row>
      <xdr:rowOff>15240</xdr:rowOff>
    </xdr:from>
    <xdr:to>
      <xdr:col>17</xdr:col>
      <xdr:colOff>45720</xdr:colOff>
      <xdr:row>56</xdr:row>
      <xdr:rowOff>5080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FE20773-62C7-186D-0E04-CDB507C20C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0</xdr:colOff>
      <xdr:row>56</xdr:row>
      <xdr:rowOff>17780</xdr:rowOff>
    </xdr:from>
    <xdr:to>
      <xdr:col>17</xdr:col>
      <xdr:colOff>45720</xdr:colOff>
      <xdr:row>78</xdr:row>
      <xdr:rowOff>7620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D9097D1-8663-9CE5-81A7-C84B889847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12</xdr:row>
      <xdr:rowOff>12700</xdr:rowOff>
    </xdr:from>
    <xdr:to>
      <xdr:col>17</xdr:col>
      <xdr:colOff>45720</xdr:colOff>
      <xdr:row>34</xdr:row>
      <xdr:rowOff>2540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FCFAE9-6D9D-194F-739A-835C7FB764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</xdr:col>
      <xdr:colOff>0</xdr:colOff>
      <xdr:row>34</xdr:row>
      <xdr:rowOff>15240</xdr:rowOff>
    </xdr:from>
    <xdr:to>
      <xdr:col>17</xdr:col>
      <xdr:colOff>45720</xdr:colOff>
      <xdr:row>56</xdr:row>
      <xdr:rowOff>5080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C6669A2-B440-D297-C62C-C36C69B02B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12</xdr:row>
      <xdr:rowOff>12700</xdr:rowOff>
    </xdr:from>
    <xdr:to>
      <xdr:col>17</xdr:col>
      <xdr:colOff>45720</xdr:colOff>
      <xdr:row>34</xdr:row>
      <xdr:rowOff>2540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90FA39-6C09-1C74-63F6-94A4BE5F31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</xdr:col>
      <xdr:colOff>0</xdr:colOff>
      <xdr:row>34</xdr:row>
      <xdr:rowOff>15240</xdr:rowOff>
    </xdr:from>
    <xdr:to>
      <xdr:col>17</xdr:col>
      <xdr:colOff>45720</xdr:colOff>
      <xdr:row>56</xdr:row>
      <xdr:rowOff>5080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9B0BA7E-1FA3-D3BC-B510-3476FF1923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0</xdr:colOff>
      <xdr:row>56</xdr:row>
      <xdr:rowOff>17780</xdr:rowOff>
    </xdr:from>
    <xdr:to>
      <xdr:col>17</xdr:col>
      <xdr:colOff>45720</xdr:colOff>
      <xdr:row>78</xdr:row>
      <xdr:rowOff>7620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16EA7B3-463E-3FE0-180C-27F8B7EC9A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12</xdr:row>
      <xdr:rowOff>12700</xdr:rowOff>
    </xdr:from>
    <xdr:to>
      <xdr:col>17</xdr:col>
      <xdr:colOff>45720</xdr:colOff>
      <xdr:row>34</xdr:row>
      <xdr:rowOff>2540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98C3A6-AC30-71BC-EFBC-371F821B19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</xdr:col>
      <xdr:colOff>0</xdr:colOff>
      <xdr:row>34</xdr:row>
      <xdr:rowOff>15240</xdr:rowOff>
    </xdr:from>
    <xdr:to>
      <xdr:col>17</xdr:col>
      <xdr:colOff>45720</xdr:colOff>
      <xdr:row>56</xdr:row>
      <xdr:rowOff>5080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4DF2A6F-CF03-C912-3300-E37BD6B44F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12</xdr:row>
      <xdr:rowOff>12700</xdr:rowOff>
    </xdr:from>
    <xdr:to>
      <xdr:col>17</xdr:col>
      <xdr:colOff>45720</xdr:colOff>
      <xdr:row>34</xdr:row>
      <xdr:rowOff>2540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4A26E7-7440-6916-01A2-5D4B0655F6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12</xdr:row>
      <xdr:rowOff>12700</xdr:rowOff>
    </xdr:from>
    <xdr:to>
      <xdr:col>17</xdr:col>
      <xdr:colOff>45720</xdr:colOff>
      <xdr:row>34</xdr:row>
      <xdr:rowOff>2540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41B0A1-3AE6-C024-2435-5548CC9D8C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12</xdr:row>
      <xdr:rowOff>12700</xdr:rowOff>
    </xdr:from>
    <xdr:to>
      <xdr:col>17</xdr:col>
      <xdr:colOff>45720</xdr:colOff>
      <xdr:row>34</xdr:row>
      <xdr:rowOff>2540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166387-BBBB-4659-93CF-F6208E191E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12</xdr:row>
      <xdr:rowOff>12700</xdr:rowOff>
    </xdr:from>
    <xdr:to>
      <xdr:col>17</xdr:col>
      <xdr:colOff>45720</xdr:colOff>
      <xdr:row>34</xdr:row>
      <xdr:rowOff>2540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D717EE-880B-DB36-FEFD-24E8D4E894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12</xdr:row>
      <xdr:rowOff>12700</xdr:rowOff>
    </xdr:from>
    <xdr:to>
      <xdr:col>17</xdr:col>
      <xdr:colOff>45720</xdr:colOff>
      <xdr:row>34</xdr:row>
      <xdr:rowOff>2540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B15FAA-2066-69F0-2695-DCA0E03496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12</xdr:row>
      <xdr:rowOff>12700</xdr:rowOff>
    </xdr:from>
    <xdr:to>
      <xdr:col>17</xdr:col>
      <xdr:colOff>45720</xdr:colOff>
      <xdr:row>34</xdr:row>
      <xdr:rowOff>2540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07DF6A-90ED-DEC2-FD22-2578AA3BFF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12</xdr:row>
      <xdr:rowOff>12700</xdr:rowOff>
    </xdr:from>
    <xdr:to>
      <xdr:col>17</xdr:col>
      <xdr:colOff>45720</xdr:colOff>
      <xdr:row>34</xdr:row>
      <xdr:rowOff>2540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BE2048-534E-8121-45D6-D7C6ECE85C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12</xdr:row>
      <xdr:rowOff>12700</xdr:rowOff>
    </xdr:from>
    <xdr:to>
      <xdr:col>17</xdr:col>
      <xdr:colOff>45720</xdr:colOff>
      <xdr:row>34</xdr:row>
      <xdr:rowOff>2540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B03243-86F1-286F-150E-C7CEA1B4D5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A51F1-8870-4FF7-9A06-E30CBC6B6C17}">
  <dimension ref="B1:Z30"/>
  <sheetViews>
    <sheetView tabSelected="1" workbookViewId="0"/>
  </sheetViews>
  <sheetFormatPr defaultRowHeight="14.4" x14ac:dyDescent="0.3"/>
  <cols>
    <col min="6" max="6" width="4.77734375" customWidth="1"/>
  </cols>
  <sheetData>
    <row r="1" spans="2:7" x14ac:dyDescent="0.3">
      <c r="B1" s="2" t="s">
        <v>830</v>
      </c>
      <c r="C1">
        <v>10</v>
      </c>
      <c r="D1" s="2" t="s">
        <v>831</v>
      </c>
      <c r="E1" s="1">
        <v>0.7012152777777777</v>
      </c>
      <c r="F1" s="11" t="s">
        <v>832</v>
      </c>
      <c r="G1" s="1">
        <v>0.7013194444444445</v>
      </c>
    </row>
    <row r="2" spans="2:7" x14ac:dyDescent="0.3">
      <c r="B2" s="2"/>
      <c r="D2" s="2"/>
      <c r="E2" s="1"/>
      <c r="F2" s="11"/>
      <c r="G2" s="1"/>
    </row>
    <row r="3" spans="2:7" x14ac:dyDescent="0.3">
      <c r="B3" s="2"/>
      <c r="D3" s="2"/>
      <c r="E3" s="1"/>
      <c r="F3" s="11"/>
      <c r="G3" s="1"/>
    </row>
    <row r="4" spans="2:7" x14ac:dyDescent="0.3">
      <c r="B4" s="2"/>
      <c r="D4" s="2"/>
      <c r="E4" s="1"/>
      <c r="F4" s="11"/>
      <c r="G4" s="1"/>
    </row>
    <row r="5" spans="2:7" x14ac:dyDescent="0.3">
      <c r="B5" s="2"/>
      <c r="D5" s="2"/>
      <c r="E5" s="1"/>
      <c r="F5" s="11"/>
      <c r="G5" s="1"/>
    </row>
    <row r="6" spans="2:7" x14ac:dyDescent="0.3">
      <c r="B6" s="2"/>
      <c r="D6" s="2"/>
      <c r="E6" s="1"/>
      <c r="F6" s="11"/>
      <c r="G6" s="1"/>
    </row>
    <row r="7" spans="2:7" x14ac:dyDescent="0.3">
      <c r="B7" s="2"/>
      <c r="D7" s="2"/>
      <c r="E7" s="1"/>
      <c r="F7" s="11"/>
      <c r="G7" s="1"/>
    </row>
    <row r="8" spans="2:7" x14ac:dyDescent="0.3">
      <c r="B8" s="2"/>
      <c r="D8" s="2"/>
      <c r="E8" s="1"/>
      <c r="F8" s="11"/>
      <c r="G8" s="1"/>
    </row>
    <row r="9" spans="2:7" x14ac:dyDescent="0.3">
      <c r="B9" s="2"/>
      <c r="D9" s="2"/>
      <c r="E9" s="1"/>
      <c r="F9" s="11"/>
      <c r="G9" s="1"/>
    </row>
    <row r="10" spans="2:7" x14ac:dyDescent="0.3">
      <c r="B10" s="2"/>
      <c r="D10" s="2"/>
      <c r="E10" s="1"/>
      <c r="F10" s="11"/>
      <c r="G10" s="1"/>
    </row>
    <row r="11" spans="2:7" x14ac:dyDescent="0.3">
      <c r="B11" s="2"/>
      <c r="D11" s="2"/>
      <c r="E11" s="1"/>
      <c r="F11" s="11"/>
      <c r="G11" s="1"/>
    </row>
    <row r="12" spans="2:7" x14ac:dyDescent="0.3">
      <c r="B12" s="2"/>
      <c r="D12" s="2"/>
      <c r="E12" s="1"/>
      <c r="F12" s="11"/>
      <c r="G12" s="1"/>
    </row>
    <row r="13" spans="2:7" x14ac:dyDescent="0.3">
      <c r="B13" s="2"/>
      <c r="D13" s="2"/>
      <c r="E13" s="1"/>
      <c r="F13" s="11"/>
      <c r="G13" s="1"/>
    </row>
    <row r="14" spans="2:7" x14ac:dyDescent="0.3">
      <c r="B14" s="2"/>
      <c r="D14" s="2"/>
      <c r="E14" s="1"/>
      <c r="F14" s="11"/>
      <c r="G14" s="1"/>
    </row>
    <row r="15" spans="2:7" x14ac:dyDescent="0.3">
      <c r="B15" s="2"/>
      <c r="D15" s="2"/>
      <c r="E15" s="1"/>
      <c r="F15" s="11"/>
      <c r="G15" s="1"/>
    </row>
    <row r="16" spans="2:7" x14ac:dyDescent="0.3">
      <c r="B16" s="2"/>
      <c r="D16" s="2"/>
      <c r="E16" s="1"/>
      <c r="F16" s="11"/>
      <c r="G16" s="1"/>
    </row>
    <row r="17" spans="2:26" x14ac:dyDescent="0.3">
      <c r="B17" s="2"/>
      <c r="D17" s="2"/>
      <c r="E17" s="1"/>
      <c r="F17" s="11"/>
      <c r="G17" s="1"/>
    </row>
    <row r="18" spans="2:26" x14ac:dyDescent="0.3">
      <c r="B18" s="2"/>
      <c r="D18" s="2"/>
      <c r="E18" s="1"/>
      <c r="F18" s="11"/>
      <c r="G18" s="1"/>
    </row>
    <row r="19" spans="2:26" x14ac:dyDescent="0.3">
      <c r="B19" s="2"/>
      <c r="D19" s="2"/>
      <c r="E19" s="1"/>
      <c r="F19" s="11"/>
      <c r="G19" s="1"/>
    </row>
    <row r="20" spans="2:26" x14ac:dyDescent="0.3">
      <c r="B20" s="2"/>
      <c r="D20" s="2"/>
      <c r="E20" s="1"/>
      <c r="F20" s="11"/>
      <c r="G20" s="1"/>
    </row>
    <row r="21" spans="2:26" x14ac:dyDescent="0.3">
      <c r="B21" s="2"/>
      <c r="D21" s="2"/>
      <c r="E21" s="1"/>
      <c r="F21" s="11"/>
      <c r="G21" s="1"/>
    </row>
    <row r="22" spans="2:26" x14ac:dyDescent="0.3">
      <c r="B22" s="2"/>
      <c r="D22" s="2"/>
      <c r="E22" s="1"/>
      <c r="F22" s="11"/>
      <c r="G22" s="1"/>
    </row>
    <row r="24" spans="2:26" x14ac:dyDescent="0.3">
      <c r="B24" s="2" t="s">
        <v>833</v>
      </c>
      <c r="G24" s="2" t="s">
        <v>839</v>
      </c>
      <c r="H24" s="2" t="s">
        <v>652</v>
      </c>
      <c r="I24" s="2" t="s">
        <v>653</v>
      </c>
      <c r="J24" s="2" t="s">
        <v>654</v>
      </c>
      <c r="K24" s="2" t="s">
        <v>655</v>
      </c>
      <c r="L24" s="2" t="s">
        <v>802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2:26" x14ac:dyDescent="0.3">
      <c r="B25" t="s">
        <v>834</v>
      </c>
      <c r="E25" s="12">
        <v>45.940000000000005</v>
      </c>
      <c r="G25" t="s">
        <v>803</v>
      </c>
      <c r="H25" s="13">
        <v>47.510000000000005</v>
      </c>
      <c r="I25" s="13">
        <v>14.75</v>
      </c>
      <c r="J25" s="13">
        <v>0</v>
      </c>
      <c r="K25" s="13">
        <v>37.72</v>
      </c>
      <c r="L25" s="13">
        <v>62.260000000000005</v>
      </c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2:26" x14ac:dyDescent="0.3">
      <c r="B26" t="s">
        <v>835</v>
      </c>
      <c r="E26" s="12">
        <v>399.6</v>
      </c>
      <c r="G26" t="s">
        <v>836</v>
      </c>
      <c r="H26" s="13">
        <v>84.2</v>
      </c>
      <c r="I26" s="13">
        <v>31.2</v>
      </c>
      <c r="J26" s="13">
        <v>0</v>
      </c>
      <c r="K26" s="13">
        <v>100</v>
      </c>
      <c r="L26" s="13">
        <v>100</v>
      </c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spans="2:26" x14ac:dyDescent="0.3">
      <c r="B27" t="s">
        <v>837</v>
      </c>
      <c r="E27" s="1">
        <v>44980.701238425929</v>
      </c>
      <c r="G27" t="s">
        <v>838</v>
      </c>
      <c r="H27" s="13">
        <v>1.7722584719006524</v>
      </c>
      <c r="I27" s="13">
        <v>2.1152542372881356</v>
      </c>
      <c r="J27" s="13">
        <v>0</v>
      </c>
      <c r="K27" s="13">
        <v>2.6511134676564159</v>
      </c>
      <c r="L27" s="13">
        <v>1.6061676839061996</v>
      </c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spans="2:26" x14ac:dyDescent="0.3">
      <c r="B28" t="s">
        <v>840</v>
      </c>
      <c r="E28" s="12">
        <v>0</v>
      </c>
    </row>
    <row r="29" spans="2:26" x14ac:dyDescent="0.3">
      <c r="B29" t="s">
        <v>841</v>
      </c>
      <c r="E29" s="12">
        <v>1.9406319134462888E-3</v>
      </c>
    </row>
    <row r="30" spans="2:26" x14ac:dyDescent="0.3">
      <c r="B30" t="s">
        <v>842</v>
      </c>
      <c r="E30" s="13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36C2B-9618-492E-B5D8-1D1465A405B7}">
  <dimension ref="A1:E23"/>
  <sheetViews>
    <sheetView workbookViewId="0"/>
  </sheetViews>
  <sheetFormatPr defaultRowHeight="14.4" x14ac:dyDescent="0.3"/>
  <cols>
    <col min="1" max="1" width="17.5546875" style="2" bestFit="1" customWidth="1"/>
    <col min="2" max="2" width="10.77734375" customWidth="1"/>
    <col min="3" max="3" width="15.44140625" bestFit="1" customWidth="1"/>
    <col min="4" max="4" width="40.5546875" bestFit="1" customWidth="1"/>
  </cols>
  <sheetData>
    <row r="1" spans="1:5" x14ac:dyDescent="0.3">
      <c r="A1" s="2" t="s">
        <v>0</v>
      </c>
      <c r="B1" s="4" t="s">
        <v>1</v>
      </c>
    </row>
    <row r="2" spans="1:5" x14ac:dyDescent="0.3">
      <c r="A2" s="2" t="s">
        <v>2</v>
      </c>
      <c r="B2" s="4" t="s">
        <v>3</v>
      </c>
      <c r="C2" t="s">
        <v>4</v>
      </c>
      <c r="D2" t="s">
        <v>5</v>
      </c>
      <c r="E2" t="s">
        <v>6</v>
      </c>
    </row>
    <row r="3" spans="1:5" x14ac:dyDescent="0.3">
      <c r="A3" s="2" t="s">
        <v>7</v>
      </c>
      <c r="B3" s="5">
        <v>44973.936805555553</v>
      </c>
    </row>
    <row r="4" spans="1:5" x14ac:dyDescent="0.3">
      <c r="A4" s="2" t="s">
        <v>8</v>
      </c>
      <c r="B4" s="4" t="s">
        <v>9</v>
      </c>
    </row>
    <row r="5" spans="1:5" x14ac:dyDescent="0.3">
      <c r="A5" s="2" t="s">
        <v>10</v>
      </c>
      <c r="B5" s="4">
        <v>8</v>
      </c>
    </row>
    <row r="6" spans="1:5" x14ac:dyDescent="0.3">
      <c r="A6" s="2" t="s">
        <v>11</v>
      </c>
      <c r="B6" s="6">
        <v>44980</v>
      </c>
    </row>
    <row r="7" spans="1:5" x14ac:dyDescent="0.3">
      <c r="A7" s="2" t="s">
        <v>12</v>
      </c>
      <c r="B7" s="4">
        <v>17</v>
      </c>
    </row>
    <row r="8" spans="1:5" x14ac:dyDescent="0.3">
      <c r="A8" s="2" t="s">
        <v>13</v>
      </c>
      <c r="B8" s="4">
        <v>150</v>
      </c>
    </row>
    <row r="9" spans="1:5" x14ac:dyDescent="0.3">
      <c r="A9" s="2" t="s">
        <v>14</v>
      </c>
      <c r="B9" s="4" t="s">
        <v>15</v>
      </c>
    </row>
    <row r="10" spans="1:5" x14ac:dyDescent="0.3">
      <c r="A10" s="2" t="s">
        <v>16</v>
      </c>
      <c r="B10" s="4">
        <v>1</v>
      </c>
    </row>
    <row r="11" spans="1:5" x14ac:dyDescent="0.3">
      <c r="A11" s="2" t="s">
        <v>17</v>
      </c>
      <c r="B11" s="4">
        <v>256</v>
      </c>
      <c r="C11" t="s">
        <v>18</v>
      </c>
    </row>
    <row r="12" spans="1:5" x14ac:dyDescent="0.3">
      <c r="A12" s="2" t="s">
        <v>19</v>
      </c>
      <c r="B12" s="4">
        <v>8</v>
      </c>
    </row>
    <row r="13" spans="1:5" x14ac:dyDescent="0.3">
      <c r="A13" s="2" t="s">
        <v>20</v>
      </c>
      <c r="B13" s="4" t="s">
        <v>15</v>
      </c>
    </row>
    <row r="14" spans="1:5" x14ac:dyDescent="0.3">
      <c r="A14" s="2" t="s">
        <v>21</v>
      </c>
      <c r="B14" s="4">
        <v>10</v>
      </c>
    </row>
    <row r="15" spans="1:5" x14ac:dyDescent="0.3">
      <c r="A15" s="2" t="s">
        <v>22</v>
      </c>
      <c r="B15" s="4">
        <v>1</v>
      </c>
    </row>
    <row r="16" spans="1:5" x14ac:dyDescent="0.3">
      <c r="A16" s="2" t="s">
        <v>23</v>
      </c>
      <c r="B16" s="7">
        <v>1.1683333333333335E-2</v>
      </c>
    </row>
    <row r="17" spans="1:2" x14ac:dyDescent="0.3">
      <c r="A17" s="2" t="s">
        <v>24</v>
      </c>
      <c r="B17" s="4" t="s">
        <v>25</v>
      </c>
    </row>
    <row r="18" spans="1:2" x14ac:dyDescent="0.3">
      <c r="A18" s="2" t="s">
        <v>26</v>
      </c>
      <c r="B18" s="4" t="s">
        <v>27</v>
      </c>
    </row>
    <row r="19" spans="1:2" x14ac:dyDescent="0.3">
      <c r="A19" s="2" t="s">
        <v>794</v>
      </c>
      <c r="B19" t="s">
        <v>795</v>
      </c>
    </row>
    <row r="20" spans="1:2" x14ac:dyDescent="0.3">
      <c r="A20" s="2" t="s">
        <v>796</v>
      </c>
      <c r="B20" t="s">
        <v>797</v>
      </c>
    </row>
    <row r="21" spans="1:2" x14ac:dyDescent="0.3">
      <c r="A21" s="2" t="s">
        <v>798</v>
      </c>
      <c r="B21" t="s">
        <v>799</v>
      </c>
    </row>
    <row r="22" spans="1:2" x14ac:dyDescent="0.3">
      <c r="A22" s="2" t="s">
        <v>800</v>
      </c>
      <c r="B22" t="s">
        <v>801</v>
      </c>
    </row>
    <row r="23" spans="1:2" x14ac:dyDescent="0.3">
      <c r="A23" s="2" t="s">
        <v>844</v>
      </c>
      <c r="B23" t="s">
        <v>845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19E8C-69FD-4C4D-A4CD-70295E064186}">
  <dimension ref="A1:C863"/>
  <sheetViews>
    <sheetView workbookViewId="0"/>
  </sheetViews>
  <sheetFormatPr defaultRowHeight="14.4" x14ac:dyDescent="0.3"/>
  <cols>
    <col min="1" max="1" width="16.5546875" bestFit="1" customWidth="1"/>
    <col min="2" max="3" width="8.88671875" style="8"/>
  </cols>
  <sheetData>
    <row r="1" spans="1:2" x14ac:dyDescent="0.3">
      <c r="A1" t="s">
        <v>28</v>
      </c>
    </row>
    <row r="2" spans="1:2" x14ac:dyDescent="0.3">
      <c r="A2" t="s">
        <v>28</v>
      </c>
      <c r="B2" s="8" t="s">
        <v>29</v>
      </c>
    </row>
    <row r="3" spans="1:2" x14ac:dyDescent="0.3">
      <c r="A3" t="s">
        <v>28</v>
      </c>
      <c r="B3" s="8" t="s">
        <v>30</v>
      </c>
    </row>
    <row r="4" spans="1:2" x14ac:dyDescent="0.3">
      <c r="A4" t="s">
        <v>28</v>
      </c>
      <c r="B4" s="8" t="s">
        <v>31</v>
      </c>
    </row>
    <row r="5" spans="1:2" x14ac:dyDescent="0.3">
      <c r="A5" t="s">
        <v>28</v>
      </c>
      <c r="B5" s="8" t="s">
        <v>32</v>
      </c>
    </row>
    <row r="6" spans="1:2" x14ac:dyDescent="0.3">
      <c r="A6" t="s">
        <v>28</v>
      </c>
      <c r="B6" s="8" t="s">
        <v>33</v>
      </c>
    </row>
    <row r="7" spans="1:2" x14ac:dyDescent="0.3">
      <c r="A7" t="s">
        <v>28</v>
      </c>
      <c r="B7" s="8" t="s">
        <v>34</v>
      </c>
    </row>
    <row r="8" spans="1:2" x14ac:dyDescent="0.3">
      <c r="A8" t="s">
        <v>28</v>
      </c>
      <c r="B8" s="8" t="s">
        <v>35</v>
      </c>
    </row>
    <row r="9" spans="1:2" x14ac:dyDescent="0.3">
      <c r="A9" t="s">
        <v>28</v>
      </c>
      <c r="B9" s="8" t="s">
        <v>36</v>
      </c>
    </row>
    <row r="10" spans="1:2" x14ac:dyDescent="0.3">
      <c r="A10" t="s">
        <v>28</v>
      </c>
      <c r="B10" s="8" t="s">
        <v>37</v>
      </c>
    </row>
    <row r="11" spans="1:2" x14ac:dyDescent="0.3">
      <c r="A11" t="s">
        <v>28</v>
      </c>
      <c r="B11" s="8" t="s">
        <v>38</v>
      </c>
    </row>
    <row r="12" spans="1:2" x14ac:dyDescent="0.3">
      <c r="A12" t="s">
        <v>28</v>
      </c>
      <c r="B12" s="8" t="s">
        <v>39</v>
      </c>
    </row>
    <row r="13" spans="1:2" x14ac:dyDescent="0.3">
      <c r="A13" t="s">
        <v>28</v>
      </c>
      <c r="B13" s="8" t="s">
        <v>40</v>
      </c>
    </row>
    <row r="14" spans="1:2" x14ac:dyDescent="0.3">
      <c r="A14" t="s">
        <v>28</v>
      </c>
      <c r="B14" s="8" t="s">
        <v>41</v>
      </c>
    </row>
    <row r="15" spans="1:2" x14ac:dyDescent="0.3">
      <c r="A15" t="s">
        <v>28</v>
      </c>
      <c r="B15" s="8" t="s">
        <v>42</v>
      </c>
    </row>
    <row r="16" spans="1:2" x14ac:dyDescent="0.3">
      <c r="A16" t="s">
        <v>28</v>
      </c>
      <c r="B16" s="8" t="s">
        <v>43</v>
      </c>
    </row>
    <row r="17" spans="1:2" x14ac:dyDescent="0.3">
      <c r="A17" t="s">
        <v>28</v>
      </c>
      <c r="B17" s="8" t="s">
        <v>44</v>
      </c>
    </row>
    <row r="18" spans="1:2" x14ac:dyDescent="0.3">
      <c r="A18" t="s">
        <v>45</v>
      </c>
    </row>
    <row r="19" spans="1:2" x14ac:dyDescent="0.3">
      <c r="A19" t="s">
        <v>46</v>
      </c>
    </row>
    <row r="20" spans="1:2" x14ac:dyDescent="0.3">
      <c r="A20" t="s">
        <v>47</v>
      </c>
    </row>
    <row r="21" spans="1:2" x14ac:dyDescent="0.3">
      <c r="A21" t="s">
        <v>47</v>
      </c>
      <c r="B21" s="8" t="s">
        <v>48</v>
      </c>
    </row>
    <row r="22" spans="1:2" x14ac:dyDescent="0.3">
      <c r="A22" t="s">
        <v>47</v>
      </c>
      <c r="B22" s="8" t="s">
        <v>49</v>
      </c>
    </row>
    <row r="23" spans="1:2" x14ac:dyDescent="0.3">
      <c r="A23" t="s">
        <v>47</v>
      </c>
      <c r="B23" s="8" t="s">
        <v>50</v>
      </c>
    </row>
    <row r="24" spans="1:2" x14ac:dyDescent="0.3">
      <c r="A24" t="s">
        <v>47</v>
      </c>
      <c r="B24" s="8" t="s">
        <v>51</v>
      </c>
    </row>
    <row r="25" spans="1:2" x14ac:dyDescent="0.3">
      <c r="A25" t="s">
        <v>47</v>
      </c>
      <c r="B25" s="8" t="s">
        <v>52</v>
      </c>
    </row>
    <row r="26" spans="1:2" x14ac:dyDescent="0.3">
      <c r="A26" t="s">
        <v>47</v>
      </c>
      <c r="B26" s="8" t="s">
        <v>53</v>
      </c>
    </row>
    <row r="27" spans="1:2" x14ac:dyDescent="0.3">
      <c r="A27" t="s">
        <v>47</v>
      </c>
      <c r="B27" s="8" t="s">
        <v>54</v>
      </c>
    </row>
    <row r="28" spans="1:2" x14ac:dyDescent="0.3">
      <c r="A28" t="s">
        <v>47</v>
      </c>
      <c r="B28" s="8" t="s">
        <v>55</v>
      </c>
    </row>
    <row r="29" spans="1:2" x14ac:dyDescent="0.3">
      <c r="A29" t="s">
        <v>47</v>
      </c>
      <c r="B29" s="8" t="s">
        <v>56</v>
      </c>
    </row>
    <row r="30" spans="1:2" x14ac:dyDescent="0.3">
      <c r="A30" t="s">
        <v>47</v>
      </c>
      <c r="B30" s="8" t="s">
        <v>57</v>
      </c>
    </row>
    <row r="31" spans="1:2" x14ac:dyDescent="0.3">
      <c r="A31" t="s">
        <v>47</v>
      </c>
      <c r="B31" s="8" t="s">
        <v>58</v>
      </c>
    </row>
    <row r="32" spans="1:2" x14ac:dyDescent="0.3">
      <c r="A32" t="s">
        <v>47</v>
      </c>
      <c r="B32" s="8" t="s">
        <v>59</v>
      </c>
    </row>
    <row r="33" spans="1:2" x14ac:dyDescent="0.3">
      <c r="A33" t="s">
        <v>47</v>
      </c>
      <c r="B33" s="8" t="s">
        <v>60</v>
      </c>
    </row>
    <row r="34" spans="1:2" x14ac:dyDescent="0.3">
      <c r="A34" t="s">
        <v>47</v>
      </c>
      <c r="B34" s="8" t="s">
        <v>61</v>
      </c>
    </row>
    <row r="35" spans="1:2" x14ac:dyDescent="0.3">
      <c r="A35" t="s">
        <v>47</v>
      </c>
      <c r="B35" s="8" t="s">
        <v>62</v>
      </c>
    </row>
    <row r="36" spans="1:2" x14ac:dyDescent="0.3">
      <c r="A36" t="s">
        <v>47</v>
      </c>
      <c r="B36" s="8" t="s">
        <v>63</v>
      </c>
    </row>
    <row r="37" spans="1:2" x14ac:dyDescent="0.3">
      <c r="A37" t="s">
        <v>47</v>
      </c>
      <c r="B37" s="8" t="s">
        <v>64</v>
      </c>
    </row>
    <row r="38" spans="1:2" x14ac:dyDescent="0.3">
      <c r="A38" t="s">
        <v>47</v>
      </c>
      <c r="B38" s="8" t="s">
        <v>65</v>
      </c>
    </row>
    <row r="39" spans="1:2" x14ac:dyDescent="0.3">
      <c r="A39" t="s">
        <v>47</v>
      </c>
      <c r="B39" s="8" t="s">
        <v>66</v>
      </c>
    </row>
    <row r="40" spans="1:2" x14ac:dyDescent="0.3">
      <c r="A40" t="s">
        <v>67</v>
      </c>
    </row>
    <row r="41" spans="1:2" x14ac:dyDescent="0.3">
      <c r="A41" t="s">
        <v>67</v>
      </c>
      <c r="B41" s="8" t="s">
        <v>68</v>
      </c>
    </row>
    <row r="42" spans="1:2" x14ac:dyDescent="0.3">
      <c r="A42" t="s">
        <v>67</v>
      </c>
      <c r="B42" s="8" t="s">
        <v>69</v>
      </c>
    </row>
    <row r="43" spans="1:2" x14ac:dyDescent="0.3">
      <c r="A43" t="s">
        <v>67</v>
      </c>
      <c r="B43" s="8" t="s">
        <v>70</v>
      </c>
    </row>
    <row r="44" spans="1:2" x14ac:dyDescent="0.3">
      <c r="A44" t="s">
        <v>67</v>
      </c>
      <c r="B44" s="8" t="s">
        <v>71</v>
      </c>
    </row>
    <row r="45" spans="1:2" x14ac:dyDescent="0.3">
      <c r="A45" t="s">
        <v>67</v>
      </c>
      <c r="B45" s="8" t="s">
        <v>72</v>
      </c>
    </row>
    <row r="46" spans="1:2" x14ac:dyDescent="0.3">
      <c r="A46" t="s">
        <v>67</v>
      </c>
      <c r="B46" s="8" t="s">
        <v>73</v>
      </c>
    </row>
    <row r="47" spans="1:2" x14ac:dyDescent="0.3">
      <c r="A47" t="s">
        <v>67</v>
      </c>
      <c r="B47" s="8" t="s">
        <v>74</v>
      </c>
    </row>
    <row r="48" spans="1:2" x14ac:dyDescent="0.3">
      <c r="A48" t="s">
        <v>67</v>
      </c>
      <c r="B48" s="8" t="s">
        <v>75</v>
      </c>
    </row>
    <row r="49" spans="1:2" x14ac:dyDescent="0.3">
      <c r="A49" t="s">
        <v>67</v>
      </c>
      <c r="B49" s="8" t="s">
        <v>76</v>
      </c>
    </row>
    <row r="50" spans="1:2" x14ac:dyDescent="0.3">
      <c r="A50" t="s">
        <v>67</v>
      </c>
      <c r="B50" s="8" t="s">
        <v>77</v>
      </c>
    </row>
    <row r="51" spans="1:2" x14ac:dyDescent="0.3">
      <c r="A51" t="s">
        <v>67</v>
      </c>
      <c r="B51" s="8" t="s">
        <v>78</v>
      </c>
    </row>
    <row r="52" spans="1:2" x14ac:dyDescent="0.3">
      <c r="A52" t="s">
        <v>67</v>
      </c>
      <c r="B52" s="8" t="s">
        <v>79</v>
      </c>
    </row>
    <row r="53" spans="1:2" x14ac:dyDescent="0.3">
      <c r="A53" t="s">
        <v>67</v>
      </c>
      <c r="B53" s="8" t="s">
        <v>80</v>
      </c>
    </row>
    <row r="54" spans="1:2" x14ac:dyDescent="0.3">
      <c r="A54" t="s">
        <v>67</v>
      </c>
      <c r="B54" s="8" t="s">
        <v>81</v>
      </c>
    </row>
    <row r="55" spans="1:2" x14ac:dyDescent="0.3">
      <c r="A55" t="s">
        <v>67</v>
      </c>
      <c r="B55" s="8" t="s">
        <v>82</v>
      </c>
    </row>
    <row r="56" spans="1:2" x14ac:dyDescent="0.3">
      <c r="A56" t="s">
        <v>67</v>
      </c>
      <c r="B56" s="8" t="s">
        <v>83</v>
      </c>
    </row>
    <row r="57" spans="1:2" x14ac:dyDescent="0.3">
      <c r="A57" t="s">
        <v>67</v>
      </c>
      <c r="B57" s="8" t="s">
        <v>84</v>
      </c>
    </row>
    <row r="58" spans="1:2" x14ac:dyDescent="0.3">
      <c r="A58" t="s">
        <v>67</v>
      </c>
      <c r="B58" s="8" t="s">
        <v>85</v>
      </c>
    </row>
    <row r="59" spans="1:2" x14ac:dyDescent="0.3">
      <c r="A59" t="s">
        <v>67</v>
      </c>
      <c r="B59" s="8" t="s">
        <v>86</v>
      </c>
    </row>
    <row r="60" spans="1:2" x14ac:dyDescent="0.3">
      <c r="A60" t="s">
        <v>67</v>
      </c>
      <c r="B60" s="8" t="s">
        <v>87</v>
      </c>
    </row>
    <row r="61" spans="1:2" x14ac:dyDescent="0.3">
      <c r="A61" t="s">
        <v>67</v>
      </c>
      <c r="B61" s="8" t="s">
        <v>88</v>
      </c>
    </row>
    <row r="62" spans="1:2" x14ac:dyDescent="0.3">
      <c r="A62" t="s">
        <v>67</v>
      </c>
      <c r="B62" s="8" t="s">
        <v>89</v>
      </c>
    </row>
    <row r="63" spans="1:2" x14ac:dyDescent="0.3">
      <c r="A63" t="s">
        <v>67</v>
      </c>
      <c r="B63" s="8" t="s">
        <v>90</v>
      </c>
    </row>
    <row r="64" spans="1:2" x14ac:dyDescent="0.3">
      <c r="A64" t="s">
        <v>67</v>
      </c>
      <c r="B64" s="8" t="s">
        <v>91</v>
      </c>
    </row>
    <row r="65" spans="1:2" x14ac:dyDescent="0.3">
      <c r="A65" t="s">
        <v>67</v>
      </c>
      <c r="B65" s="8" t="s">
        <v>92</v>
      </c>
    </row>
    <row r="66" spans="1:2" x14ac:dyDescent="0.3">
      <c r="A66" t="s">
        <v>67</v>
      </c>
      <c r="B66" s="8" t="s">
        <v>93</v>
      </c>
    </row>
    <row r="67" spans="1:2" x14ac:dyDescent="0.3">
      <c r="A67" t="s">
        <v>67</v>
      </c>
      <c r="B67" s="8" t="s">
        <v>94</v>
      </c>
    </row>
    <row r="68" spans="1:2" x14ac:dyDescent="0.3">
      <c r="A68" t="s">
        <v>67</v>
      </c>
      <c r="B68" s="8" t="s">
        <v>95</v>
      </c>
    </row>
    <row r="69" spans="1:2" x14ac:dyDescent="0.3">
      <c r="A69" t="s">
        <v>67</v>
      </c>
      <c r="B69" s="8" t="s">
        <v>96</v>
      </c>
    </row>
    <row r="70" spans="1:2" x14ac:dyDescent="0.3">
      <c r="A70" t="s">
        <v>67</v>
      </c>
      <c r="B70" s="8" t="s">
        <v>97</v>
      </c>
    </row>
    <row r="71" spans="1:2" x14ac:dyDescent="0.3">
      <c r="A71" t="s">
        <v>67</v>
      </c>
      <c r="B71" s="8" t="s">
        <v>98</v>
      </c>
    </row>
    <row r="72" spans="1:2" x14ac:dyDescent="0.3">
      <c r="A72" t="s">
        <v>67</v>
      </c>
      <c r="B72" s="8" t="s">
        <v>99</v>
      </c>
    </row>
    <row r="73" spans="1:2" x14ac:dyDescent="0.3">
      <c r="A73" t="s">
        <v>67</v>
      </c>
      <c r="B73" s="8" t="s">
        <v>100</v>
      </c>
    </row>
    <row r="74" spans="1:2" x14ac:dyDescent="0.3">
      <c r="A74" t="s">
        <v>67</v>
      </c>
      <c r="B74" s="8" t="s">
        <v>101</v>
      </c>
    </row>
    <row r="75" spans="1:2" x14ac:dyDescent="0.3">
      <c r="A75" t="s">
        <v>67</v>
      </c>
      <c r="B75" s="8" t="s">
        <v>102</v>
      </c>
    </row>
    <row r="76" spans="1:2" x14ac:dyDescent="0.3">
      <c r="A76" t="s">
        <v>67</v>
      </c>
      <c r="B76" s="8" t="s">
        <v>103</v>
      </c>
    </row>
    <row r="77" spans="1:2" x14ac:dyDescent="0.3">
      <c r="A77" t="s">
        <v>104</v>
      </c>
    </row>
    <row r="78" spans="1:2" x14ac:dyDescent="0.3">
      <c r="A78" t="s">
        <v>104</v>
      </c>
      <c r="B78" s="8" t="s">
        <v>15</v>
      </c>
    </row>
    <row r="79" spans="1:2" x14ac:dyDescent="0.3">
      <c r="A79" t="s">
        <v>104</v>
      </c>
      <c r="B79" s="8" t="s">
        <v>105</v>
      </c>
    </row>
    <row r="80" spans="1:2" x14ac:dyDescent="0.3">
      <c r="A80" t="s">
        <v>104</v>
      </c>
      <c r="B80" s="8" t="s">
        <v>106</v>
      </c>
    </row>
    <row r="81" spans="1:2" x14ac:dyDescent="0.3">
      <c r="A81" t="s">
        <v>104</v>
      </c>
      <c r="B81" s="8" t="s">
        <v>107</v>
      </c>
    </row>
    <row r="82" spans="1:2" x14ac:dyDescent="0.3">
      <c r="A82" t="s">
        <v>104</v>
      </c>
      <c r="B82" s="8" t="s">
        <v>108</v>
      </c>
    </row>
    <row r="83" spans="1:2" x14ac:dyDescent="0.3">
      <c r="A83" t="s">
        <v>104</v>
      </c>
      <c r="B83" s="8" t="s">
        <v>109</v>
      </c>
    </row>
    <row r="84" spans="1:2" x14ac:dyDescent="0.3">
      <c r="A84" t="s">
        <v>104</v>
      </c>
      <c r="B84" s="8" t="s">
        <v>110</v>
      </c>
    </row>
    <row r="85" spans="1:2" x14ac:dyDescent="0.3">
      <c r="A85" t="s">
        <v>104</v>
      </c>
      <c r="B85" s="8" t="s">
        <v>111</v>
      </c>
    </row>
    <row r="86" spans="1:2" x14ac:dyDescent="0.3">
      <c r="A86" t="s">
        <v>104</v>
      </c>
      <c r="B86" s="8" t="s">
        <v>112</v>
      </c>
    </row>
    <row r="87" spans="1:2" x14ac:dyDescent="0.3">
      <c r="A87" t="s">
        <v>104</v>
      </c>
      <c r="B87" s="8" t="s">
        <v>113</v>
      </c>
    </row>
    <row r="88" spans="1:2" x14ac:dyDescent="0.3">
      <c r="A88" t="s">
        <v>104</v>
      </c>
      <c r="B88" s="8" t="s">
        <v>114</v>
      </c>
    </row>
    <row r="89" spans="1:2" x14ac:dyDescent="0.3">
      <c r="A89" t="s">
        <v>104</v>
      </c>
      <c r="B89" s="8" t="s">
        <v>115</v>
      </c>
    </row>
    <row r="90" spans="1:2" x14ac:dyDescent="0.3">
      <c r="A90" t="s">
        <v>104</v>
      </c>
      <c r="B90" s="8" t="s">
        <v>116</v>
      </c>
    </row>
    <row r="91" spans="1:2" x14ac:dyDescent="0.3">
      <c r="A91" t="s">
        <v>104</v>
      </c>
      <c r="B91" s="8" t="s">
        <v>117</v>
      </c>
    </row>
    <row r="92" spans="1:2" x14ac:dyDescent="0.3">
      <c r="A92" t="s">
        <v>104</v>
      </c>
      <c r="B92" s="8" t="s">
        <v>118</v>
      </c>
    </row>
    <row r="93" spans="1:2" x14ac:dyDescent="0.3">
      <c r="A93" t="s">
        <v>104</v>
      </c>
      <c r="B93" s="8" t="s">
        <v>119</v>
      </c>
    </row>
    <row r="94" spans="1:2" x14ac:dyDescent="0.3">
      <c r="A94" t="s">
        <v>104</v>
      </c>
      <c r="B94" s="8" t="s">
        <v>120</v>
      </c>
    </row>
    <row r="95" spans="1:2" x14ac:dyDescent="0.3">
      <c r="A95" t="s">
        <v>104</v>
      </c>
      <c r="B95" s="8" t="s">
        <v>121</v>
      </c>
    </row>
    <row r="96" spans="1:2" x14ac:dyDescent="0.3">
      <c r="A96" t="s">
        <v>104</v>
      </c>
      <c r="B96" s="8" t="s">
        <v>122</v>
      </c>
    </row>
    <row r="97" spans="1:2" x14ac:dyDescent="0.3">
      <c r="A97" t="s">
        <v>104</v>
      </c>
      <c r="B97" s="8" t="s">
        <v>123</v>
      </c>
    </row>
    <row r="98" spans="1:2" x14ac:dyDescent="0.3">
      <c r="A98" t="s">
        <v>104</v>
      </c>
      <c r="B98" s="8" t="s">
        <v>124</v>
      </c>
    </row>
    <row r="99" spans="1:2" x14ac:dyDescent="0.3">
      <c r="A99" t="s">
        <v>104</v>
      </c>
      <c r="B99" s="8" t="s">
        <v>125</v>
      </c>
    </row>
    <row r="100" spans="1:2" x14ac:dyDescent="0.3">
      <c r="A100" t="s">
        <v>104</v>
      </c>
      <c r="B100" s="8" t="s">
        <v>126</v>
      </c>
    </row>
    <row r="101" spans="1:2" x14ac:dyDescent="0.3">
      <c r="A101" t="s">
        <v>104</v>
      </c>
      <c r="B101" s="8" t="s">
        <v>127</v>
      </c>
    </row>
    <row r="102" spans="1:2" x14ac:dyDescent="0.3">
      <c r="A102" t="s">
        <v>104</v>
      </c>
      <c r="B102" s="8" t="s">
        <v>128</v>
      </c>
    </row>
    <row r="103" spans="1:2" x14ac:dyDescent="0.3">
      <c r="A103" t="s">
        <v>104</v>
      </c>
      <c r="B103" s="8" t="s">
        <v>129</v>
      </c>
    </row>
    <row r="104" spans="1:2" x14ac:dyDescent="0.3">
      <c r="A104" t="s">
        <v>104</v>
      </c>
      <c r="B104" s="8" t="s">
        <v>130</v>
      </c>
    </row>
    <row r="105" spans="1:2" x14ac:dyDescent="0.3">
      <c r="A105" t="s">
        <v>104</v>
      </c>
      <c r="B105" s="8" t="s">
        <v>131</v>
      </c>
    </row>
    <row r="106" spans="1:2" x14ac:dyDescent="0.3">
      <c r="A106" t="s">
        <v>104</v>
      </c>
      <c r="B106" s="8" t="s">
        <v>132</v>
      </c>
    </row>
    <row r="107" spans="1:2" x14ac:dyDescent="0.3">
      <c r="A107" t="s">
        <v>104</v>
      </c>
      <c r="B107" s="8" t="s">
        <v>133</v>
      </c>
    </row>
    <row r="108" spans="1:2" x14ac:dyDescent="0.3">
      <c r="A108" t="s">
        <v>104</v>
      </c>
      <c r="B108" s="8" t="s">
        <v>134</v>
      </c>
    </row>
    <row r="109" spans="1:2" x14ac:dyDescent="0.3">
      <c r="A109" t="s">
        <v>104</v>
      </c>
      <c r="B109" s="8" t="s">
        <v>135</v>
      </c>
    </row>
    <row r="110" spans="1:2" x14ac:dyDescent="0.3">
      <c r="A110" t="s">
        <v>104</v>
      </c>
      <c r="B110" s="8" t="s">
        <v>136</v>
      </c>
    </row>
    <row r="111" spans="1:2" x14ac:dyDescent="0.3">
      <c r="A111" t="s">
        <v>104</v>
      </c>
      <c r="B111" s="8" t="s">
        <v>137</v>
      </c>
    </row>
    <row r="112" spans="1:2" x14ac:dyDescent="0.3">
      <c r="A112" t="s">
        <v>104</v>
      </c>
      <c r="B112" s="8" t="s">
        <v>138</v>
      </c>
    </row>
    <row r="113" spans="1:2" x14ac:dyDescent="0.3">
      <c r="A113" t="s">
        <v>104</v>
      </c>
      <c r="B113" s="8" t="s">
        <v>139</v>
      </c>
    </row>
    <row r="114" spans="1:2" x14ac:dyDescent="0.3">
      <c r="A114" t="s">
        <v>104</v>
      </c>
      <c r="B114" s="8" t="s">
        <v>140</v>
      </c>
    </row>
    <row r="115" spans="1:2" x14ac:dyDescent="0.3">
      <c r="A115" t="s">
        <v>104</v>
      </c>
      <c r="B115" s="8" t="s">
        <v>141</v>
      </c>
    </row>
    <row r="116" spans="1:2" x14ac:dyDescent="0.3">
      <c r="A116" t="s">
        <v>104</v>
      </c>
      <c r="B116" s="8" t="s">
        <v>142</v>
      </c>
    </row>
    <row r="117" spans="1:2" x14ac:dyDescent="0.3">
      <c r="A117" t="s">
        <v>104</v>
      </c>
      <c r="B117" s="8" t="s">
        <v>143</v>
      </c>
    </row>
    <row r="118" spans="1:2" x14ac:dyDescent="0.3">
      <c r="A118" t="s">
        <v>104</v>
      </c>
      <c r="B118" s="8" t="s">
        <v>144</v>
      </c>
    </row>
    <row r="119" spans="1:2" x14ac:dyDescent="0.3">
      <c r="A119" t="s">
        <v>104</v>
      </c>
      <c r="B119" s="8" t="s">
        <v>145</v>
      </c>
    </row>
    <row r="120" spans="1:2" x14ac:dyDescent="0.3">
      <c r="A120" t="s">
        <v>104</v>
      </c>
      <c r="B120" s="8" t="s">
        <v>146</v>
      </c>
    </row>
    <row r="121" spans="1:2" x14ac:dyDescent="0.3">
      <c r="A121" t="s">
        <v>104</v>
      </c>
      <c r="B121" s="8" t="s">
        <v>147</v>
      </c>
    </row>
    <row r="122" spans="1:2" x14ac:dyDescent="0.3">
      <c r="A122" t="s">
        <v>104</v>
      </c>
      <c r="B122" s="8" t="s">
        <v>148</v>
      </c>
    </row>
    <row r="123" spans="1:2" x14ac:dyDescent="0.3">
      <c r="A123" t="s">
        <v>104</v>
      </c>
      <c r="B123" s="8" t="s">
        <v>149</v>
      </c>
    </row>
    <row r="124" spans="1:2" x14ac:dyDescent="0.3">
      <c r="A124" t="s">
        <v>104</v>
      </c>
      <c r="B124" s="8" t="s">
        <v>150</v>
      </c>
    </row>
    <row r="125" spans="1:2" x14ac:dyDescent="0.3">
      <c r="A125" t="s">
        <v>104</v>
      </c>
      <c r="B125" s="8" t="s">
        <v>151</v>
      </c>
    </row>
    <row r="126" spans="1:2" x14ac:dyDescent="0.3">
      <c r="A126" t="s">
        <v>104</v>
      </c>
      <c r="B126" s="8" t="s">
        <v>147</v>
      </c>
    </row>
    <row r="127" spans="1:2" x14ac:dyDescent="0.3">
      <c r="A127" t="s">
        <v>104</v>
      </c>
      <c r="B127" s="8" t="s">
        <v>152</v>
      </c>
    </row>
    <row r="128" spans="1:2" x14ac:dyDescent="0.3">
      <c r="A128" t="s">
        <v>104</v>
      </c>
      <c r="B128" s="8" t="s">
        <v>153</v>
      </c>
    </row>
    <row r="129" spans="1:2" x14ac:dyDescent="0.3">
      <c r="A129" t="s">
        <v>104</v>
      </c>
      <c r="B129" s="8" t="s">
        <v>154</v>
      </c>
    </row>
    <row r="130" spans="1:2" x14ac:dyDescent="0.3">
      <c r="A130" t="s">
        <v>104</v>
      </c>
      <c r="B130" s="8" t="s">
        <v>155</v>
      </c>
    </row>
    <row r="131" spans="1:2" x14ac:dyDescent="0.3">
      <c r="A131" t="s">
        <v>104</v>
      </c>
      <c r="B131" s="8" t="s">
        <v>147</v>
      </c>
    </row>
    <row r="132" spans="1:2" x14ac:dyDescent="0.3">
      <c r="A132" t="s">
        <v>104</v>
      </c>
      <c r="B132" s="8" t="s">
        <v>156</v>
      </c>
    </row>
    <row r="133" spans="1:2" x14ac:dyDescent="0.3">
      <c r="A133" t="s">
        <v>104</v>
      </c>
      <c r="B133" s="8" t="s">
        <v>157</v>
      </c>
    </row>
    <row r="134" spans="1:2" x14ac:dyDescent="0.3">
      <c r="A134" t="s">
        <v>104</v>
      </c>
      <c r="B134" s="8" t="s">
        <v>158</v>
      </c>
    </row>
    <row r="135" spans="1:2" x14ac:dyDescent="0.3">
      <c r="A135" t="s">
        <v>104</v>
      </c>
      <c r="B135" s="8" t="s">
        <v>159</v>
      </c>
    </row>
    <row r="136" spans="1:2" x14ac:dyDescent="0.3">
      <c r="A136" t="s">
        <v>104</v>
      </c>
      <c r="B136" s="8" t="s">
        <v>147</v>
      </c>
    </row>
    <row r="137" spans="1:2" x14ac:dyDescent="0.3">
      <c r="A137" t="s">
        <v>104</v>
      </c>
      <c r="B137" s="8" t="s">
        <v>160</v>
      </c>
    </row>
    <row r="138" spans="1:2" x14ac:dyDescent="0.3">
      <c r="A138" t="s">
        <v>104</v>
      </c>
      <c r="B138" s="8" t="s">
        <v>161</v>
      </c>
    </row>
    <row r="139" spans="1:2" x14ac:dyDescent="0.3">
      <c r="A139" t="s">
        <v>104</v>
      </c>
      <c r="B139" s="8" t="s">
        <v>162</v>
      </c>
    </row>
    <row r="140" spans="1:2" x14ac:dyDescent="0.3">
      <c r="A140" t="s">
        <v>104</v>
      </c>
      <c r="B140" s="8" t="s">
        <v>147</v>
      </c>
    </row>
    <row r="141" spans="1:2" x14ac:dyDescent="0.3">
      <c r="A141" t="s">
        <v>104</v>
      </c>
      <c r="B141" s="8" t="s">
        <v>163</v>
      </c>
    </row>
    <row r="142" spans="1:2" x14ac:dyDescent="0.3">
      <c r="A142" t="s">
        <v>104</v>
      </c>
      <c r="B142" s="8" t="s">
        <v>164</v>
      </c>
    </row>
    <row r="143" spans="1:2" x14ac:dyDescent="0.3">
      <c r="A143" t="s">
        <v>104</v>
      </c>
      <c r="B143" s="8" t="s">
        <v>165</v>
      </c>
    </row>
    <row r="144" spans="1:2" x14ac:dyDescent="0.3">
      <c r="A144" t="s">
        <v>104</v>
      </c>
      <c r="B144" s="8" t="s">
        <v>166</v>
      </c>
    </row>
    <row r="145" spans="1:2" x14ac:dyDescent="0.3">
      <c r="A145" t="s">
        <v>104</v>
      </c>
      <c r="B145" s="8" t="s">
        <v>136</v>
      </c>
    </row>
    <row r="146" spans="1:2" x14ac:dyDescent="0.3">
      <c r="A146" t="s">
        <v>104</v>
      </c>
      <c r="B146" s="8" t="s">
        <v>167</v>
      </c>
    </row>
    <row r="147" spans="1:2" x14ac:dyDescent="0.3">
      <c r="A147" t="s">
        <v>104</v>
      </c>
      <c r="B147" s="8" t="s">
        <v>168</v>
      </c>
    </row>
    <row r="148" spans="1:2" x14ac:dyDescent="0.3">
      <c r="A148" t="s">
        <v>104</v>
      </c>
      <c r="B148" s="8" t="s">
        <v>139</v>
      </c>
    </row>
    <row r="149" spans="1:2" x14ac:dyDescent="0.3">
      <c r="A149" t="s">
        <v>104</v>
      </c>
      <c r="B149" s="8" t="s">
        <v>140</v>
      </c>
    </row>
    <row r="150" spans="1:2" x14ac:dyDescent="0.3">
      <c r="A150" t="s">
        <v>104</v>
      </c>
      <c r="B150" s="8" t="s">
        <v>141</v>
      </c>
    </row>
    <row r="151" spans="1:2" x14ac:dyDescent="0.3">
      <c r="A151" t="s">
        <v>104</v>
      </c>
      <c r="B151" s="8" t="s">
        <v>169</v>
      </c>
    </row>
    <row r="152" spans="1:2" x14ac:dyDescent="0.3">
      <c r="A152" t="s">
        <v>104</v>
      </c>
      <c r="B152" s="8" t="s">
        <v>170</v>
      </c>
    </row>
    <row r="153" spans="1:2" x14ac:dyDescent="0.3">
      <c r="A153" t="s">
        <v>104</v>
      </c>
      <c r="B153" s="8" t="s">
        <v>171</v>
      </c>
    </row>
    <row r="154" spans="1:2" x14ac:dyDescent="0.3">
      <c r="A154" t="s">
        <v>104</v>
      </c>
      <c r="B154" s="8" t="s">
        <v>172</v>
      </c>
    </row>
    <row r="155" spans="1:2" x14ac:dyDescent="0.3">
      <c r="A155" t="s">
        <v>104</v>
      </c>
      <c r="B155" s="8" t="s">
        <v>173</v>
      </c>
    </row>
    <row r="156" spans="1:2" x14ac:dyDescent="0.3">
      <c r="A156" t="s">
        <v>104</v>
      </c>
      <c r="B156" s="8" t="s">
        <v>174</v>
      </c>
    </row>
    <row r="157" spans="1:2" x14ac:dyDescent="0.3">
      <c r="A157" t="s">
        <v>104</v>
      </c>
      <c r="B157" s="8" t="s">
        <v>136</v>
      </c>
    </row>
    <row r="158" spans="1:2" x14ac:dyDescent="0.3">
      <c r="A158" t="s">
        <v>104</v>
      </c>
      <c r="B158" s="8" t="s">
        <v>175</v>
      </c>
    </row>
    <row r="159" spans="1:2" x14ac:dyDescent="0.3">
      <c r="A159" t="s">
        <v>104</v>
      </c>
      <c r="B159" s="8" t="s">
        <v>176</v>
      </c>
    </row>
    <row r="160" spans="1:2" x14ac:dyDescent="0.3">
      <c r="A160" t="s">
        <v>104</v>
      </c>
      <c r="B160" s="8" t="s">
        <v>177</v>
      </c>
    </row>
    <row r="161" spans="1:2" x14ac:dyDescent="0.3">
      <c r="A161" t="s">
        <v>104</v>
      </c>
      <c r="B161" s="8" t="s">
        <v>140</v>
      </c>
    </row>
    <row r="162" spans="1:2" x14ac:dyDescent="0.3">
      <c r="A162" t="s">
        <v>104</v>
      </c>
      <c r="B162" s="8" t="s">
        <v>141</v>
      </c>
    </row>
    <row r="163" spans="1:2" x14ac:dyDescent="0.3">
      <c r="A163" t="s">
        <v>104</v>
      </c>
      <c r="B163" s="8" t="s">
        <v>178</v>
      </c>
    </row>
    <row r="164" spans="1:2" x14ac:dyDescent="0.3">
      <c r="A164" t="s">
        <v>104</v>
      </c>
      <c r="B164" s="8" t="s">
        <v>179</v>
      </c>
    </row>
    <row r="165" spans="1:2" x14ac:dyDescent="0.3">
      <c r="A165" t="s">
        <v>104</v>
      </c>
      <c r="B165" s="8" t="s">
        <v>180</v>
      </c>
    </row>
    <row r="166" spans="1:2" x14ac:dyDescent="0.3">
      <c r="A166" t="s">
        <v>104</v>
      </c>
      <c r="B166" s="8" t="s">
        <v>181</v>
      </c>
    </row>
    <row r="167" spans="1:2" x14ac:dyDescent="0.3">
      <c r="A167" t="s">
        <v>104</v>
      </c>
      <c r="B167" s="8" t="s">
        <v>182</v>
      </c>
    </row>
    <row r="168" spans="1:2" x14ac:dyDescent="0.3">
      <c r="A168" t="s">
        <v>104</v>
      </c>
      <c r="B168" s="8" t="s">
        <v>183</v>
      </c>
    </row>
    <row r="169" spans="1:2" x14ac:dyDescent="0.3">
      <c r="A169" t="s">
        <v>104</v>
      </c>
      <c r="B169" s="8" t="s">
        <v>184</v>
      </c>
    </row>
    <row r="170" spans="1:2" x14ac:dyDescent="0.3">
      <c r="A170" t="s">
        <v>104</v>
      </c>
      <c r="B170" s="8" t="s">
        <v>185</v>
      </c>
    </row>
    <row r="171" spans="1:2" x14ac:dyDescent="0.3">
      <c r="A171" t="s">
        <v>104</v>
      </c>
      <c r="B171" s="8" t="s">
        <v>186</v>
      </c>
    </row>
    <row r="172" spans="1:2" x14ac:dyDescent="0.3">
      <c r="A172" t="s">
        <v>104</v>
      </c>
      <c r="B172" s="8" t="s">
        <v>187</v>
      </c>
    </row>
    <row r="173" spans="1:2" x14ac:dyDescent="0.3">
      <c r="A173" t="s">
        <v>104</v>
      </c>
      <c r="B173" s="8" t="s">
        <v>188</v>
      </c>
    </row>
    <row r="174" spans="1:2" x14ac:dyDescent="0.3">
      <c r="A174" t="s">
        <v>104</v>
      </c>
      <c r="B174" s="8" t="s">
        <v>140</v>
      </c>
    </row>
    <row r="175" spans="1:2" x14ac:dyDescent="0.3">
      <c r="A175" t="s">
        <v>104</v>
      </c>
      <c r="B175" s="8" t="s">
        <v>141</v>
      </c>
    </row>
    <row r="176" spans="1:2" x14ac:dyDescent="0.3">
      <c r="A176" t="s">
        <v>104</v>
      </c>
      <c r="B176" s="8" t="s">
        <v>189</v>
      </c>
    </row>
    <row r="177" spans="1:2" x14ac:dyDescent="0.3">
      <c r="A177" t="s">
        <v>104</v>
      </c>
      <c r="B177" s="8" t="s">
        <v>190</v>
      </c>
    </row>
    <row r="178" spans="1:2" x14ac:dyDescent="0.3">
      <c r="A178" t="s">
        <v>104</v>
      </c>
      <c r="B178" s="8" t="s">
        <v>191</v>
      </c>
    </row>
    <row r="179" spans="1:2" x14ac:dyDescent="0.3">
      <c r="A179" t="s">
        <v>104</v>
      </c>
      <c r="B179" s="8" t="s">
        <v>192</v>
      </c>
    </row>
    <row r="180" spans="1:2" x14ac:dyDescent="0.3">
      <c r="A180" t="s">
        <v>104</v>
      </c>
      <c r="B180" s="8" t="s">
        <v>193</v>
      </c>
    </row>
    <row r="181" spans="1:2" x14ac:dyDescent="0.3">
      <c r="A181" t="s">
        <v>104</v>
      </c>
      <c r="B181" s="8" t="s">
        <v>194</v>
      </c>
    </row>
    <row r="182" spans="1:2" x14ac:dyDescent="0.3">
      <c r="A182" t="s">
        <v>104</v>
      </c>
      <c r="B182" s="8" t="s">
        <v>136</v>
      </c>
    </row>
    <row r="183" spans="1:2" x14ac:dyDescent="0.3">
      <c r="A183" t="s">
        <v>104</v>
      </c>
      <c r="B183" s="8" t="s">
        <v>195</v>
      </c>
    </row>
    <row r="184" spans="1:2" x14ac:dyDescent="0.3">
      <c r="A184" t="s">
        <v>104</v>
      </c>
      <c r="B184" s="8" t="s">
        <v>196</v>
      </c>
    </row>
    <row r="185" spans="1:2" x14ac:dyDescent="0.3">
      <c r="A185" t="s">
        <v>104</v>
      </c>
      <c r="B185" s="8" t="s">
        <v>197</v>
      </c>
    </row>
    <row r="186" spans="1:2" x14ac:dyDescent="0.3">
      <c r="A186" t="s">
        <v>104</v>
      </c>
      <c r="B186" s="8" t="s">
        <v>177</v>
      </c>
    </row>
    <row r="187" spans="1:2" x14ac:dyDescent="0.3">
      <c r="A187" t="s">
        <v>104</v>
      </c>
      <c r="B187" s="8" t="s">
        <v>198</v>
      </c>
    </row>
    <row r="188" spans="1:2" x14ac:dyDescent="0.3">
      <c r="A188" t="s">
        <v>104</v>
      </c>
      <c r="B188" s="8" t="s">
        <v>199</v>
      </c>
    </row>
    <row r="189" spans="1:2" x14ac:dyDescent="0.3">
      <c r="A189" t="s">
        <v>104</v>
      </c>
      <c r="B189" s="8" t="s">
        <v>200</v>
      </c>
    </row>
    <row r="190" spans="1:2" x14ac:dyDescent="0.3">
      <c r="A190" t="s">
        <v>104</v>
      </c>
      <c r="B190" s="8" t="s">
        <v>140</v>
      </c>
    </row>
    <row r="191" spans="1:2" x14ac:dyDescent="0.3">
      <c r="A191" t="s">
        <v>104</v>
      </c>
      <c r="B191" s="8" t="s">
        <v>141</v>
      </c>
    </row>
    <row r="192" spans="1:2" x14ac:dyDescent="0.3">
      <c r="A192" t="s">
        <v>104</v>
      </c>
      <c r="B192" s="8" t="s">
        <v>201</v>
      </c>
    </row>
    <row r="193" spans="1:2" x14ac:dyDescent="0.3">
      <c r="A193" t="s">
        <v>104</v>
      </c>
      <c r="B193" s="8" t="s">
        <v>202</v>
      </c>
    </row>
    <row r="194" spans="1:2" x14ac:dyDescent="0.3">
      <c r="A194" t="s">
        <v>104</v>
      </c>
      <c r="B194" s="8" t="s">
        <v>203</v>
      </c>
    </row>
    <row r="195" spans="1:2" x14ac:dyDescent="0.3">
      <c r="A195" t="s">
        <v>104</v>
      </c>
      <c r="B195" s="8" t="s">
        <v>204</v>
      </c>
    </row>
    <row r="196" spans="1:2" x14ac:dyDescent="0.3">
      <c r="A196" t="s">
        <v>104</v>
      </c>
      <c r="B196" s="8" t="s">
        <v>205</v>
      </c>
    </row>
    <row r="197" spans="1:2" x14ac:dyDescent="0.3">
      <c r="A197" t="s">
        <v>104</v>
      </c>
      <c r="B197" s="8" t="s">
        <v>206</v>
      </c>
    </row>
    <row r="198" spans="1:2" x14ac:dyDescent="0.3">
      <c r="A198" t="s">
        <v>104</v>
      </c>
      <c r="B198" s="8" t="s">
        <v>136</v>
      </c>
    </row>
    <row r="199" spans="1:2" x14ac:dyDescent="0.3">
      <c r="A199" t="s">
        <v>104</v>
      </c>
      <c r="B199" s="8" t="s">
        <v>207</v>
      </c>
    </row>
    <row r="200" spans="1:2" x14ac:dyDescent="0.3">
      <c r="A200" t="s">
        <v>104</v>
      </c>
      <c r="B200" s="8" t="s">
        <v>208</v>
      </c>
    </row>
    <row r="201" spans="1:2" x14ac:dyDescent="0.3">
      <c r="A201" t="s">
        <v>104</v>
      </c>
      <c r="B201" s="8" t="s">
        <v>177</v>
      </c>
    </row>
    <row r="202" spans="1:2" x14ac:dyDescent="0.3">
      <c r="A202" t="s">
        <v>104</v>
      </c>
      <c r="B202" s="8" t="s">
        <v>140</v>
      </c>
    </row>
    <row r="203" spans="1:2" x14ac:dyDescent="0.3">
      <c r="A203" t="s">
        <v>104</v>
      </c>
      <c r="B203" s="8" t="s">
        <v>141</v>
      </c>
    </row>
    <row r="204" spans="1:2" x14ac:dyDescent="0.3">
      <c r="A204" t="s">
        <v>104</v>
      </c>
      <c r="B204" s="8" t="s">
        <v>209</v>
      </c>
    </row>
    <row r="205" spans="1:2" x14ac:dyDescent="0.3">
      <c r="A205" t="s">
        <v>104</v>
      </c>
      <c r="B205" s="8" t="s">
        <v>210</v>
      </c>
    </row>
    <row r="206" spans="1:2" x14ac:dyDescent="0.3">
      <c r="A206" t="s">
        <v>104</v>
      </c>
      <c r="B206" s="8" t="s">
        <v>211</v>
      </c>
    </row>
    <row r="207" spans="1:2" x14ac:dyDescent="0.3">
      <c r="A207" t="s">
        <v>104</v>
      </c>
      <c r="B207" s="8" t="s">
        <v>212</v>
      </c>
    </row>
    <row r="208" spans="1:2" x14ac:dyDescent="0.3">
      <c r="A208" t="s">
        <v>104</v>
      </c>
      <c r="B208" s="8" t="s">
        <v>205</v>
      </c>
    </row>
    <row r="209" spans="1:2" x14ac:dyDescent="0.3">
      <c r="A209" t="s">
        <v>104</v>
      </c>
      <c r="B209" s="8" t="s">
        <v>213</v>
      </c>
    </row>
    <row r="210" spans="1:2" x14ac:dyDescent="0.3">
      <c r="A210" t="s">
        <v>104</v>
      </c>
      <c r="B210" s="8" t="s">
        <v>136</v>
      </c>
    </row>
    <row r="211" spans="1:2" x14ac:dyDescent="0.3">
      <c r="A211" t="s">
        <v>104</v>
      </c>
      <c r="B211" s="8" t="s">
        <v>214</v>
      </c>
    </row>
    <row r="212" spans="1:2" x14ac:dyDescent="0.3">
      <c r="A212" t="s">
        <v>104</v>
      </c>
      <c r="B212" s="8" t="s">
        <v>215</v>
      </c>
    </row>
    <row r="213" spans="1:2" x14ac:dyDescent="0.3">
      <c r="A213" t="s">
        <v>104</v>
      </c>
      <c r="B213" s="8" t="s">
        <v>177</v>
      </c>
    </row>
    <row r="214" spans="1:2" x14ac:dyDescent="0.3">
      <c r="A214" t="s">
        <v>104</v>
      </c>
      <c r="B214" s="8" t="s">
        <v>140</v>
      </c>
    </row>
    <row r="215" spans="1:2" x14ac:dyDescent="0.3">
      <c r="A215" t="s">
        <v>104</v>
      </c>
      <c r="B215" s="8" t="s">
        <v>141</v>
      </c>
    </row>
    <row r="216" spans="1:2" x14ac:dyDescent="0.3">
      <c r="A216" t="s">
        <v>104</v>
      </c>
      <c r="B216" s="8" t="s">
        <v>209</v>
      </c>
    </row>
    <row r="217" spans="1:2" x14ac:dyDescent="0.3">
      <c r="A217" t="s">
        <v>104</v>
      </c>
      <c r="B217" s="8" t="s">
        <v>210</v>
      </c>
    </row>
    <row r="218" spans="1:2" x14ac:dyDescent="0.3">
      <c r="A218" t="s">
        <v>104</v>
      </c>
      <c r="B218" s="8" t="s">
        <v>216</v>
      </c>
    </row>
    <row r="219" spans="1:2" x14ac:dyDescent="0.3">
      <c r="A219" t="s">
        <v>104</v>
      </c>
      <c r="B219" s="8" t="s">
        <v>217</v>
      </c>
    </row>
    <row r="220" spans="1:2" x14ac:dyDescent="0.3">
      <c r="A220" t="s">
        <v>104</v>
      </c>
      <c r="B220" s="8" t="s">
        <v>205</v>
      </c>
    </row>
    <row r="221" spans="1:2" x14ac:dyDescent="0.3">
      <c r="A221" t="s">
        <v>104</v>
      </c>
      <c r="B221" s="8" t="s">
        <v>218</v>
      </c>
    </row>
    <row r="222" spans="1:2" x14ac:dyDescent="0.3">
      <c r="A222" t="s">
        <v>104</v>
      </c>
      <c r="B222" s="8" t="s">
        <v>136</v>
      </c>
    </row>
    <row r="223" spans="1:2" x14ac:dyDescent="0.3">
      <c r="A223" t="s">
        <v>104</v>
      </c>
      <c r="B223" s="8" t="s">
        <v>219</v>
      </c>
    </row>
    <row r="224" spans="1:2" x14ac:dyDescent="0.3">
      <c r="A224" t="s">
        <v>104</v>
      </c>
      <c r="B224" s="8" t="s">
        <v>220</v>
      </c>
    </row>
    <row r="225" spans="1:2" x14ac:dyDescent="0.3">
      <c r="A225" t="s">
        <v>104</v>
      </c>
      <c r="B225" s="8" t="s">
        <v>177</v>
      </c>
    </row>
    <row r="226" spans="1:2" x14ac:dyDescent="0.3">
      <c r="A226" t="s">
        <v>104</v>
      </c>
      <c r="B226" s="8" t="s">
        <v>140</v>
      </c>
    </row>
    <row r="227" spans="1:2" x14ac:dyDescent="0.3">
      <c r="A227" t="s">
        <v>104</v>
      </c>
      <c r="B227" s="8" t="s">
        <v>141</v>
      </c>
    </row>
    <row r="228" spans="1:2" x14ac:dyDescent="0.3">
      <c r="A228" t="s">
        <v>104</v>
      </c>
      <c r="B228" s="8" t="s">
        <v>209</v>
      </c>
    </row>
    <row r="229" spans="1:2" x14ac:dyDescent="0.3">
      <c r="A229" t="s">
        <v>104</v>
      </c>
      <c r="B229" s="8" t="s">
        <v>210</v>
      </c>
    </row>
    <row r="230" spans="1:2" x14ac:dyDescent="0.3">
      <c r="A230" t="s">
        <v>104</v>
      </c>
      <c r="B230" s="8" t="s">
        <v>221</v>
      </c>
    </row>
    <row r="231" spans="1:2" x14ac:dyDescent="0.3">
      <c r="A231" t="s">
        <v>104</v>
      </c>
      <c r="B231" s="8" t="s">
        <v>222</v>
      </c>
    </row>
    <row r="232" spans="1:2" x14ac:dyDescent="0.3">
      <c r="A232" t="s">
        <v>104</v>
      </c>
      <c r="B232" s="8" t="s">
        <v>205</v>
      </c>
    </row>
    <row r="233" spans="1:2" x14ac:dyDescent="0.3">
      <c r="A233" t="s">
        <v>104</v>
      </c>
      <c r="B233" s="8" t="s">
        <v>223</v>
      </c>
    </row>
    <row r="234" spans="1:2" x14ac:dyDescent="0.3">
      <c r="A234" t="s">
        <v>104</v>
      </c>
      <c r="B234" s="8" t="s">
        <v>136</v>
      </c>
    </row>
    <row r="235" spans="1:2" x14ac:dyDescent="0.3">
      <c r="A235" t="s">
        <v>104</v>
      </c>
      <c r="B235" s="8" t="s">
        <v>224</v>
      </c>
    </row>
    <row r="236" spans="1:2" x14ac:dyDescent="0.3">
      <c r="A236" t="s">
        <v>104</v>
      </c>
      <c r="B236" s="8" t="s">
        <v>225</v>
      </c>
    </row>
    <row r="237" spans="1:2" x14ac:dyDescent="0.3">
      <c r="A237" t="s">
        <v>104</v>
      </c>
      <c r="B237" s="8" t="s">
        <v>177</v>
      </c>
    </row>
    <row r="238" spans="1:2" x14ac:dyDescent="0.3">
      <c r="A238" t="s">
        <v>104</v>
      </c>
      <c r="B238" s="8" t="s">
        <v>140</v>
      </c>
    </row>
    <row r="239" spans="1:2" x14ac:dyDescent="0.3">
      <c r="A239" t="s">
        <v>104</v>
      </c>
      <c r="B239" s="8" t="s">
        <v>141</v>
      </c>
    </row>
    <row r="240" spans="1:2" x14ac:dyDescent="0.3">
      <c r="A240" t="s">
        <v>104</v>
      </c>
      <c r="B240" s="8" t="s">
        <v>226</v>
      </c>
    </row>
    <row r="241" spans="1:2" x14ac:dyDescent="0.3">
      <c r="A241" t="s">
        <v>104</v>
      </c>
      <c r="B241" s="8" t="s">
        <v>227</v>
      </c>
    </row>
    <row r="242" spans="1:2" x14ac:dyDescent="0.3">
      <c r="A242" t="s">
        <v>104</v>
      </c>
      <c r="B242" s="8" t="s">
        <v>228</v>
      </c>
    </row>
    <row r="243" spans="1:2" x14ac:dyDescent="0.3">
      <c r="A243" t="s">
        <v>104</v>
      </c>
      <c r="B243" s="8" t="s">
        <v>229</v>
      </c>
    </row>
    <row r="244" spans="1:2" x14ac:dyDescent="0.3">
      <c r="A244" t="s">
        <v>104</v>
      </c>
      <c r="B244" s="8" t="s">
        <v>230</v>
      </c>
    </row>
    <row r="245" spans="1:2" x14ac:dyDescent="0.3">
      <c r="A245" t="s">
        <v>104</v>
      </c>
      <c r="B245" s="8" t="s">
        <v>231</v>
      </c>
    </row>
    <row r="246" spans="1:2" x14ac:dyDescent="0.3">
      <c r="A246" t="s">
        <v>104</v>
      </c>
      <c r="B246" s="8" t="s">
        <v>184</v>
      </c>
    </row>
    <row r="247" spans="1:2" x14ac:dyDescent="0.3">
      <c r="A247" t="s">
        <v>104</v>
      </c>
      <c r="B247" s="8" t="s">
        <v>232</v>
      </c>
    </row>
    <row r="248" spans="1:2" x14ac:dyDescent="0.3">
      <c r="A248" t="s">
        <v>104</v>
      </c>
      <c r="B248" s="8" t="s">
        <v>233</v>
      </c>
    </row>
    <row r="249" spans="1:2" x14ac:dyDescent="0.3">
      <c r="A249" t="s">
        <v>104</v>
      </c>
      <c r="B249" s="8" t="s">
        <v>139</v>
      </c>
    </row>
    <row r="250" spans="1:2" x14ac:dyDescent="0.3">
      <c r="A250" t="s">
        <v>104</v>
      </c>
      <c r="B250" s="8" t="s">
        <v>234</v>
      </c>
    </row>
    <row r="251" spans="1:2" x14ac:dyDescent="0.3">
      <c r="A251" t="s">
        <v>104</v>
      </c>
      <c r="B251" s="8" t="s">
        <v>141</v>
      </c>
    </row>
    <row r="252" spans="1:2" x14ac:dyDescent="0.3">
      <c r="A252" t="s">
        <v>104</v>
      </c>
      <c r="B252" s="8" t="s">
        <v>235</v>
      </c>
    </row>
    <row r="253" spans="1:2" x14ac:dyDescent="0.3">
      <c r="A253" t="s">
        <v>104</v>
      </c>
      <c r="B253" s="8" t="s">
        <v>236</v>
      </c>
    </row>
    <row r="254" spans="1:2" x14ac:dyDescent="0.3">
      <c r="A254" t="s">
        <v>104</v>
      </c>
      <c r="B254" s="8" t="s">
        <v>237</v>
      </c>
    </row>
    <row r="255" spans="1:2" x14ac:dyDescent="0.3">
      <c r="A255" t="s">
        <v>104</v>
      </c>
      <c r="B255" s="8" t="s">
        <v>238</v>
      </c>
    </row>
    <row r="256" spans="1:2" x14ac:dyDescent="0.3">
      <c r="A256" t="s">
        <v>104</v>
      </c>
      <c r="B256" s="8" t="s">
        <v>239</v>
      </c>
    </row>
    <row r="257" spans="1:2" x14ac:dyDescent="0.3">
      <c r="A257" t="s">
        <v>104</v>
      </c>
      <c r="B257" s="8" t="s">
        <v>146</v>
      </c>
    </row>
    <row r="258" spans="1:2" x14ac:dyDescent="0.3">
      <c r="A258" t="s">
        <v>104</v>
      </c>
      <c r="B258" s="8" t="s">
        <v>240</v>
      </c>
    </row>
    <row r="259" spans="1:2" x14ac:dyDescent="0.3">
      <c r="A259" t="s">
        <v>104</v>
      </c>
      <c r="B259" s="8" t="s">
        <v>241</v>
      </c>
    </row>
    <row r="260" spans="1:2" x14ac:dyDescent="0.3">
      <c r="A260" t="s">
        <v>104</v>
      </c>
      <c r="B260" s="8" t="s">
        <v>242</v>
      </c>
    </row>
    <row r="261" spans="1:2" x14ac:dyDescent="0.3">
      <c r="A261" t="s">
        <v>104</v>
      </c>
      <c r="B261" s="8" t="s">
        <v>243</v>
      </c>
    </row>
    <row r="262" spans="1:2" x14ac:dyDescent="0.3">
      <c r="A262" t="s">
        <v>104</v>
      </c>
      <c r="B262" s="8" t="s">
        <v>230</v>
      </c>
    </row>
    <row r="263" spans="1:2" x14ac:dyDescent="0.3">
      <c r="A263" t="s">
        <v>104</v>
      </c>
      <c r="B263" s="8" t="s">
        <v>231</v>
      </c>
    </row>
    <row r="264" spans="1:2" x14ac:dyDescent="0.3">
      <c r="A264" t="s">
        <v>104</v>
      </c>
      <c r="B264" s="8" t="s">
        <v>184</v>
      </c>
    </row>
    <row r="265" spans="1:2" x14ac:dyDescent="0.3">
      <c r="A265" t="s">
        <v>104</v>
      </c>
      <c r="B265" s="8" t="s">
        <v>244</v>
      </c>
    </row>
    <row r="266" spans="1:2" x14ac:dyDescent="0.3">
      <c r="A266" t="s">
        <v>104</v>
      </c>
      <c r="B266" s="8" t="s">
        <v>245</v>
      </c>
    </row>
    <row r="267" spans="1:2" x14ac:dyDescent="0.3">
      <c r="A267" t="s">
        <v>104</v>
      </c>
      <c r="B267" s="8" t="s">
        <v>139</v>
      </c>
    </row>
    <row r="268" spans="1:2" x14ac:dyDescent="0.3">
      <c r="A268" t="s">
        <v>104</v>
      </c>
      <c r="B268" s="8" t="s">
        <v>234</v>
      </c>
    </row>
    <row r="269" spans="1:2" x14ac:dyDescent="0.3">
      <c r="A269" t="s">
        <v>104</v>
      </c>
      <c r="B269" s="8" t="s">
        <v>141</v>
      </c>
    </row>
    <row r="270" spans="1:2" x14ac:dyDescent="0.3">
      <c r="A270" t="s">
        <v>104</v>
      </c>
      <c r="B270" s="8" t="s">
        <v>235</v>
      </c>
    </row>
    <row r="271" spans="1:2" x14ac:dyDescent="0.3">
      <c r="A271" t="s">
        <v>104</v>
      </c>
      <c r="B271" s="8" t="s">
        <v>236</v>
      </c>
    </row>
    <row r="272" spans="1:2" x14ac:dyDescent="0.3">
      <c r="A272" t="s">
        <v>104</v>
      </c>
      <c r="B272" s="8" t="s">
        <v>246</v>
      </c>
    </row>
    <row r="273" spans="1:2" x14ac:dyDescent="0.3">
      <c r="A273" t="s">
        <v>104</v>
      </c>
      <c r="B273" s="8" t="s">
        <v>247</v>
      </c>
    </row>
    <row r="274" spans="1:2" x14ac:dyDescent="0.3">
      <c r="A274" t="s">
        <v>104</v>
      </c>
      <c r="B274" s="8" t="s">
        <v>239</v>
      </c>
    </row>
    <row r="275" spans="1:2" x14ac:dyDescent="0.3">
      <c r="A275" t="s">
        <v>104</v>
      </c>
      <c r="B275" s="8" t="s">
        <v>146</v>
      </c>
    </row>
    <row r="276" spans="1:2" x14ac:dyDescent="0.3">
      <c r="A276" t="s">
        <v>104</v>
      </c>
      <c r="B276" s="8" t="s">
        <v>248</v>
      </c>
    </row>
    <row r="277" spans="1:2" x14ac:dyDescent="0.3">
      <c r="A277" t="s">
        <v>104</v>
      </c>
      <c r="B277" s="8" t="s">
        <v>249</v>
      </c>
    </row>
    <row r="278" spans="1:2" x14ac:dyDescent="0.3">
      <c r="A278" t="s">
        <v>104</v>
      </c>
      <c r="B278" s="8" t="s">
        <v>242</v>
      </c>
    </row>
    <row r="279" spans="1:2" x14ac:dyDescent="0.3">
      <c r="A279" t="s">
        <v>104</v>
      </c>
      <c r="B279" s="8" t="s">
        <v>250</v>
      </c>
    </row>
    <row r="280" spans="1:2" x14ac:dyDescent="0.3">
      <c r="A280" t="s">
        <v>104</v>
      </c>
      <c r="B280" s="8" t="s">
        <v>251</v>
      </c>
    </row>
    <row r="281" spans="1:2" x14ac:dyDescent="0.3">
      <c r="A281" t="s">
        <v>104</v>
      </c>
      <c r="B281" s="8" t="s">
        <v>252</v>
      </c>
    </row>
    <row r="282" spans="1:2" x14ac:dyDescent="0.3">
      <c r="A282" t="s">
        <v>104</v>
      </c>
      <c r="B282" s="8" t="s">
        <v>253</v>
      </c>
    </row>
    <row r="283" spans="1:2" x14ac:dyDescent="0.3">
      <c r="A283" t="s">
        <v>104</v>
      </c>
      <c r="B283" s="8" t="s">
        <v>254</v>
      </c>
    </row>
    <row r="284" spans="1:2" x14ac:dyDescent="0.3">
      <c r="A284" t="s">
        <v>104</v>
      </c>
      <c r="B284" s="8" t="s">
        <v>255</v>
      </c>
    </row>
    <row r="285" spans="1:2" x14ac:dyDescent="0.3">
      <c r="A285" t="s">
        <v>104</v>
      </c>
      <c r="B285" s="8" t="s">
        <v>256</v>
      </c>
    </row>
    <row r="286" spans="1:2" x14ac:dyDescent="0.3">
      <c r="A286" t="s">
        <v>104</v>
      </c>
      <c r="B286" s="8" t="s">
        <v>257</v>
      </c>
    </row>
    <row r="287" spans="1:2" x14ac:dyDescent="0.3">
      <c r="A287" t="s">
        <v>104</v>
      </c>
      <c r="B287" s="8" t="s">
        <v>258</v>
      </c>
    </row>
    <row r="288" spans="1:2" x14ac:dyDescent="0.3">
      <c r="A288" t="s">
        <v>104</v>
      </c>
      <c r="B288" s="8" t="s">
        <v>259</v>
      </c>
    </row>
    <row r="289" spans="1:2" x14ac:dyDescent="0.3">
      <c r="A289" t="s">
        <v>104</v>
      </c>
      <c r="B289" s="8" t="s">
        <v>260</v>
      </c>
    </row>
    <row r="290" spans="1:2" x14ac:dyDescent="0.3">
      <c r="A290" t="s">
        <v>104</v>
      </c>
      <c r="B290" s="8" t="s">
        <v>261</v>
      </c>
    </row>
    <row r="291" spans="1:2" x14ac:dyDescent="0.3">
      <c r="A291" t="s">
        <v>104</v>
      </c>
      <c r="B291" s="8" t="s">
        <v>262</v>
      </c>
    </row>
    <row r="292" spans="1:2" x14ac:dyDescent="0.3">
      <c r="A292" t="s">
        <v>104</v>
      </c>
      <c r="B292" s="8" t="s">
        <v>263</v>
      </c>
    </row>
    <row r="293" spans="1:2" x14ac:dyDescent="0.3">
      <c r="A293" t="s">
        <v>104</v>
      </c>
      <c r="B293" s="8" t="s">
        <v>264</v>
      </c>
    </row>
    <row r="294" spans="1:2" x14ac:dyDescent="0.3">
      <c r="A294" t="s">
        <v>104</v>
      </c>
      <c r="B294" s="8" t="s">
        <v>265</v>
      </c>
    </row>
    <row r="295" spans="1:2" x14ac:dyDescent="0.3">
      <c r="A295" t="s">
        <v>104</v>
      </c>
      <c r="B295" s="8" t="s">
        <v>266</v>
      </c>
    </row>
    <row r="296" spans="1:2" x14ac:dyDescent="0.3">
      <c r="A296" t="s">
        <v>104</v>
      </c>
      <c r="B296" s="8" t="s">
        <v>267</v>
      </c>
    </row>
    <row r="297" spans="1:2" x14ac:dyDescent="0.3">
      <c r="A297" t="s">
        <v>104</v>
      </c>
      <c r="B297" s="8" t="s">
        <v>268</v>
      </c>
    </row>
    <row r="298" spans="1:2" x14ac:dyDescent="0.3">
      <c r="A298" t="s">
        <v>104</v>
      </c>
      <c r="B298" s="8" t="s">
        <v>269</v>
      </c>
    </row>
    <row r="299" spans="1:2" x14ac:dyDescent="0.3">
      <c r="A299" t="s">
        <v>104</v>
      </c>
      <c r="B299" s="8" t="s">
        <v>270</v>
      </c>
    </row>
    <row r="300" spans="1:2" x14ac:dyDescent="0.3">
      <c r="A300" t="s">
        <v>104</v>
      </c>
      <c r="B300" s="8" t="s">
        <v>264</v>
      </c>
    </row>
    <row r="301" spans="1:2" x14ac:dyDescent="0.3">
      <c r="A301" t="s">
        <v>104</v>
      </c>
      <c r="B301" s="8" t="s">
        <v>271</v>
      </c>
    </row>
    <row r="302" spans="1:2" x14ac:dyDescent="0.3">
      <c r="A302" t="s">
        <v>104</v>
      </c>
      <c r="B302" s="8" t="s">
        <v>266</v>
      </c>
    </row>
    <row r="303" spans="1:2" x14ac:dyDescent="0.3">
      <c r="A303" t="s">
        <v>104</v>
      </c>
      <c r="B303" s="8" t="s">
        <v>272</v>
      </c>
    </row>
    <row r="304" spans="1:2" x14ac:dyDescent="0.3">
      <c r="A304" t="s">
        <v>104</v>
      </c>
      <c r="B304" s="8" t="s">
        <v>273</v>
      </c>
    </row>
    <row r="305" spans="1:2" x14ac:dyDescent="0.3">
      <c r="A305" t="s">
        <v>104</v>
      </c>
      <c r="B305" s="8" t="s">
        <v>274</v>
      </c>
    </row>
    <row r="306" spans="1:2" x14ac:dyDescent="0.3">
      <c r="A306" t="s">
        <v>104</v>
      </c>
      <c r="B306" s="8" t="s">
        <v>275</v>
      </c>
    </row>
    <row r="307" spans="1:2" x14ac:dyDescent="0.3">
      <c r="A307" t="s">
        <v>104</v>
      </c>
      <c r="B307" s="8" t="s">
        <v>264</v>
      </c>
    </row>
    <row r="308" spans="1:2" x14ac:dyDescent="0.3">
      <c r="A308" t="s">
        <v>104</v>
      </c>
      <c r="B308" s="8" t="s">
        <v>276</v>
      </c>
    </row>
    <row r="309" spans="1:2" x14ac:dyDescent="0.3">
      <c r="A309" t="s">
        <v>104</v>
      </c>
      <c r="B309" s="8" t="s">
        <v>277</v>
      </c>
    </row>
    <row r="310" spans="1:2" x14ac:dyDescent="0.3">
      <c r="A310" t="s">
        <v>104</v>
      </c>
      <c r="B310" s="8" t="s">
        <v>278</v>
      </c>
    </row>
    <row r="311" spans="1:2" x14ac:dyDescent="0.3">
      <c r="A311" t="s">
        <v>104</v>
      </c>
      <c r="B311" s="8" t="s">
        <v>279</v>
      </c>
    </row>
    <row r="312" spans="1:2" x14ac:dyDescent="0.3">
      <c r="A312" t="s">
        <v>104</v>
      </c>
      <c r="B312" s="8" t="s">
        <v>280</v>
      </c>
    </row>
    <row r="313" spans="1:2" x14ac:dyDescent="0.3">
      <c r="A313" t="s">
        <v>104</v>
      </c>
      <c r="B313" s="8" t="s">
        <v>281</v>
      </c>
    </row>
    <row r="314" spans="1:2" x14ac:dyDescent="0.3">
      <c r="A314" t="s">
        <v>104</v>
      </c>
      <c r="B314" s="8" t="s">
        <v>282</v>
      </c>
    </row>
    <row r="315" spans="1:2" x14ac:dyDescent="0.3">
      <c r="A315" t="s">
        <v>283</v>
      </c>
    </row>
    <row r="316" spans="1:2" x14ac:dyDescent="0.3">
      <c r="A316" t="s">
        <v>283</v>
      </c>
      <c r="B316" s="8" t="s">
        <v>284</v>
      </c>
    </row>
    <row r="317" spans="1:2" x14ac:dyDescent="0.3">
      <c r="A317" t="s">
        <v>283</v>
      </c>
      <c r="B317" s="8" t="s">
        <v>285</v>
      </c>
    </row>
    <row r="318" spans="1:2" x14ac:dyDescent="0.3">
      <c r="A318" t="s">
        <v>283</v>
      </c>
      <c r="B318" s="8" t="s">
        <v>286</v>
      </c>
    </row>
    <row r="319" spans="1:2" x14ac:dyDescent="0.3">
      <c r="A319" t="s">
        <v>283</v>
      </c>
      <c r="B319" s="8" t="s">
        <v>287</v>
      </c>
    </row>
    <row r="320" spans="1:2" x14ac:dyDescent="0.3">
      <c r="A320" t="s">
        <v>283</v>
      </c>
      <c r="B320" s="8" t="s">
        <v>288</v>
      </c>
    </row>
    <row r="321" spans="1:2" x14ac:dyDescent="0.3">
      <c r="A321" t="s">
        <v>283</v>
      </c>
      <c r="B321" s="8" t="s">
        <v>289</v>
      </c>
    </row>
    <row r="322" spans="1:2" x14ac:dyDescent="0.3">
      <c r="A322" t="s">
        <v>283</v>
      </c>
      <c r="B322" s="8" t="s">
        <v>290</v>
      </c>
    </row>
    <row r="323" spans="1:2" x14ac:dyDescent="0.3">
      <c r="A323" t="s">
        <v>283</v>
      </c>
      <c r="B323" s="8" t="s">
        <v>291</v>
      </c>
    </row>
    <row r="324" spans="1:2" x14ac:dyDescent="0.3">
      <c r="A324" t="s">
        <v>283</v>
      </c>
      <c r="B324" s="8" t="s">
        <v>292</v>
      </c>
    </row>
    <row r="325" spans="1:2" x14ac:dyDescent="0.3">
      <c r="A325" t="s">
        <v>283</v>
      </c>
      <c r="B325" s="8" t="s">
        <v>293</v>
      </c>
    </row>
    <row r="326" spans="1:2" x14ac:dyDescent="0.3">
      <c r="A326" t="s">
        <v>283</v>
      </c>
      <c r="B326" s="8" t="s">
        <v>294</v>
      </c>
    </row>
    <row r="327" spans="1:2" x14ac:dyDescent="0.3">
      <c r="A327" t="s">
        <v>283</v>
      </c>
      <c r="B327" s="8" t="s">
        <v>295</v>
      </c>
    </row>
    <row r="328" spans="1:2" x14ac:dyDescent="0.3">
      <c r="A328" t="s">
        <v>283</v>
      </c>
      <c r="B328" s="8" t="s">
        <v>296</v>
      </c>
    </row>
    <row r="329" spans="1:2" x14ac:dyDescent="0.3">
      <c r="A329" t="s">
        <v>283</v>
      </c>
      <c r="B329" s="8" t="s">
        <v>297</v>
      </c>
    </row>
    <row r="330" spans="1:2" x14ac:dyDescent="0.3">
      <c r="A330" t="s">
        <v>283</v>
      </c>
      <c r="B330" s="8" t="s">
        <v>298</v>
      </c>
    </row>
    <row r="331" spans="1:2" x14ac:dyDescent="0.3">
      <c r="A331" t="s">
        <v>283</v>
      </c>
      <c r="B331" s="8" t="s">
        <v>299</v>
      </c>
    </row>
    <row r="332" spans="1:2" x14ac:dyDescent="0.3">
      <c r="A332" t="s">
        <v>283</v>
      </c>
      <c r="B332" s="8" t="s">
        <v>300</v>
      </c>
    </row>
    <row r="333" spans="1:2" x14ac:dyDescent="0.3">
      <c r="A333" t="s">
        <v>283</v>
      </c>
      <c r="B333" s="8" t="s">
        <v>301</v>
      </c>
    </row>
    <row r="334" spans="1:2" x14ac:dyDescent="0.3">
      <c r="A334" t="s">
        <v>283</v>
      </c>
      <c r="B334" s="8" t="s">
        <v>302</v>
      </c>
    </row>
    <row r="335" spans="1:2" x14ac:dyDescent="0.3">
      <c r="A335" t="s">
        <v>283</v>
      </c>
      <c r="B335" s="8" t="s">
        <v>303</v>
      </c>
    </row>
    <row r="336" spans="1:2" x14ac:dyDescent="0.3">
      <c r="A336" t="s">
        <v>283</v>
      </c>
      <c r="B336" s="8" t="s">
        <v>304</v>
      </c>
    </row>
    <row r="337" spans="1:2" x14ac:dyDescent="0.3">
      <c r="A337" t="s">
        <v>283</v>
      </c>
      <c r="B337" s="8" t="s">
        <v>305</v>
      </c>
    </row>
    <row r="338" spans="1:2" x14ac:dyDescent="0.3">
      <c r="A338" t="s">
        <v>283</v>
      </c>
      <c r="B338" s="8" t="s">
        <v>306</v>
      </c>
    </row>
    <row r="339" spans="1:2" x14ac:dyDescent="0.3">
      <c r="A339" t="s">
        <v>283</v>
      </c>
      <c r="B339" s="8" t="s">
        <v>307</v>
      </c>
    </row>
    <row r="340" spans="1:2" x14ac:dyDescent="0.3">
      <c r="A340" t="s">
        <v>283</v>
      </c>
      <c r="B340" s="8" t="s">
        <v>308</v>
      </c>
    </row>
    <row r="341" spans="1:2" x14ac:dyDescent="0.3">
      <c r="A341" t="s">
        <v>283</v>
      </c>
      <c r="B341" s="8" t="s">
        <v>309</v>
      </c>
    </row>
    <row r="342" spans="1:2" x14ac:dyDescent="0.3">
      <c r="A342" t="s">
        <v>283</v>
      </c>
      <c r="B342" s="8" t="s">
        <v>310</v>
      </c>
    </row>
    <row r="343" spans="1:2" x14ac:dyDescent="0.3">
      <c r="A343" t="s">
        <v>283</v>
      </c>
    </row>
    <row r="344" spans="1:2" x14ac:dyDescent="0.3">
      <c r="A344" t="s">
        <v>283</v>
      </c>
      <c r="B344" s="8" t="s">
        <v>311</v>
      </c>
    </row>
    <row r="345" spans="1:2" x14ac:dyDescent="0.3">
      <c r="A345" t="s">
        <v>283</v>
      </c>
      <c r="B345" s="8" t="s">
        <v>285</v>
      </c>
    </row>
    <row r="346" spans="1:2" x14ac:dyDescent="0.3">
      <c r="A346" t="s">
        <v>283</v>
      </c>
      <c r="B346" s="8" t="s">
        <v>286</v>
      </c>
    </row>
    <row r="347" spans="1:2" x14ac:dyDescent="0.3">
      <c r="A347" t="s">
        <v>283</v>
      </c>
      <c r="B347" s="8" t="s">
        <v>287</v>
      </c>
    </row>
    <row r="348" spans="1:2" x14ac:dyDescent="0.3">
      <c r="A348" t="s">
        <v>283</v>
      </c>
      <c r="B348" s="8" t="s">
        <v>288</v>
      </c>
    </row>
    <row r="349" spans="1:2" x14ac:dyDescent="0.3">
      <c r="A349" t="s">
        <v>283</v>
      </c>
      <c r="B349" s="8" t="s">
        <v>289</v>
      </c>
    </row>
    <row r="350" spans="1:2" x14ac:dyDescent="0.3">
      <c r="A350" t="s">
        <v>283</v>
      </c>
      <c r="B350" s="8" t="s">
        <v>290</v>
      </c>
    </row>
    <row r="351" spans="1:2" x14ac:dyDescent="0.3">
      <c r="A351" t="s">
        <v>283</v>
      </c>
      <c r="B351" s="8" t="s">
        <v>291</v>
      </c>
    </row>
    <row r="352" spans="1:2" x14ac:dyDescent="0.3">
      <c r="A352" t="s">
        <v>283</v>
      </c>
      <c r="B352" s="8" t="s">
        <v>292</v>
      </c>
    </row>
    <row r="353" spans="1:2" x14ac:dyDescent="0.3">
      <c r="A353" t="s">
        <v>283</v>
      </c>
      <c r="B353" s="8" t="s">
        <v>293</v>
      </c>
    </row>
    <row r="354" spans="1:2" x14ac:dyDescent="0.3">
      <c r="A354" t="s">
        <v>283</v>
      </c>
      <c r="B354" s="8" t="s">
        <v>294</v>
      </c>
    </row>
    <row r="355" spans="1:2" x14ac:dyDescent="0.3">
      <c r="A355" t="s">
        <v>283</v>
      </c>
      <c r="B355" s="8" t="s">
        <v>312</v>
      </c>
    </row>
    <row r="356" spans="1:2" x14ac:dyDescent="0.3">
      <c r="A356" t="s">
        <v>283</v>
      </c>
      <c r="B356" s="8" t="s">
        <v>296</v>
      </c>
    </row>
    <row r="357" spans="1:2" x14ac:dyDescent="0.3">
      <c r="A357" t="s">
        <v>283</v>
      </c>
      <c r="B357" s="8" t="s">
        <v>313</v>
      </c>
    </row>
    <row r="358" spans="1:2" x14ac:dyDescent="0.3">
      <c r="A358" t="s">
        <v>283</v>
      </c>
      <c r="B358" s="8" t="s">
        <v>314</v>
      </c>
    </row>
    <row r="359" spans="1:2" x14ac:dyDescent="0.3">
      <c r="A359" t="s">
        <v>283</v>
      </c>
      <c r="B359" s="8" t="s">
        <v>299</v>
      </c>
    </row>
    <row r="360" spans="1:2" x14ac:dyDescent="0.3">
      <c r="A360" t="s">
        <v>283</v>
      </c>
      <c r="B360" s="8" t="s">
        <v>300</v>
      </c>
    </row>
    <row r="361" spans="1:2" x14ac:dyDescent="0.3">
      <c r="A361" t="s">
        <v>283</v>
      </c>
      <c r="B361" s="8" t="s">
        <v>301</v>
      </c>
    </row>
    <row r="362" spans="1:2" x14ac:dyDescent="0.3">
      <c r="A362" t="s">
        <v>283</v>
      </c>
      <c r="B362" s="8" t="s">
        <v>302</v>
      </c>
    </row>
    <row r="363" spans="1:2" x14ac:dyDescent="0.3">
      <c r="A363" t="s">
        <v>283</v>
      </c>
      <c r="B363" s="8" t="s">
        <v>303</v>
      </c>
    </row>
    <row r="364" spans="1:2" x14ac:dyDescent="0.3">
      <c r="A364" t="s">
        <v>283</v>
      </c>
      <c r="B364" s="8" t="s">
        <v>304</v>
      </c>
    </row>
    <row r="365" spans="1:2" x14ac:dyDescent="0.3">
      <c r="A365" t="s">
        <v>283</v>
      </c>
      <c r="B365" s="8" t="s">
        <v>305</v>
      </c>
    </row>
    <row r="366" spans="1:2" x14ac:dyDescent="0.3">
      <c r="A366" t="s">
        <v>283</v>
      </c>
      <c r="B366" s="8" t="s">
        <v>306</v>
      </c>
    </row>
    <row r="367" spans="1:2" x14ac:dyDescent="0.3">
      <c r="A367" t="s">
        <v>283</v>
      </c>
      <c r="B367" s="8" t="s">
        <v>307</v>
      </c>
    </row>
    <row r="368" spans="1:2" x14ac:dyDescent="0.3">
      <c r="A368" t="s">
        <v>283</v>
      </c>
      <c r="B368" s="8" t="s">
        <v>308</v>
      </c>
    </row>
    <row r="369" spans="1:2" x14ac:dyDescent="0.3">
      <c r="A369" t="s">
        <v>283</v>
      </c>
      <c r="B369" s="8" t="s">
        <v>309</v>
      </c>
    </row>
    <row r="370" spans="1:2" x14ac:dyDescent="0.3">
      <c r="A370" t="s">
        <v>283</v>
      </c>
      <c r="B370" s="8" t="s">
        <v>310</v>
      </c>
    </row>
    <row r="371" spans="1:2" x14ac:dyDescent="0.3">
      <c r="A371" t="s">
        <v>283</v>
      </c>
    </row>
    <row r="372" spans="1:2" x14ac:dyDescent="0.3">
      <c r="A372" t="s">
        <v>283</v>
      </c>
      <c r="B372" s="8" t="s">
        <v>315</v>
      </c>
    </row>
    <row r="373" spans="1:2" x14ac:dyDescent="0.3">
      <c r="A373" t="s">
        <v>283</v>
      </c>
      <c r="B373" s="8" t="s">
        <v>285</v>
      </c>
    </row>
    <row r="374" spans="1:2" x14ac:dyDescent="0.3">
      <c r="A374" t="s">
        <v>283</v>
      </c>
      <c r="B374" s="8" t="s">
        <v>286</v>
      </c>
    </row>
    <row r="375" spans="1:2" x14ac:dyDescent="0.3">
      <c r="A375" t="s">
        <v>283</v>
      </c>
      <c r="B375" s="8" t="s">
        <v>287</v>
      </c>
    </row>
    <row r="376" spans="1:2" x14ac:dyDescent="0.3">
      <c r="A376" t="s">
        <v>283</v>
      </c>
      <c r="B376" s="8" t="s">
        <v>288</v>
      </c>
    </row>
    <row r="377" spans="1:2" x14ac:dyDescent="0.3">
      <c r="A377" t="s">
        <v>283</v>
      </c>
      <c r="B377" s="8" t="s">
        <v>289</v>
      </c>
    </row>
    <row r="378" spans="1:2" x14ac:dyDescent="0.3">
      <c r="A378" t="s">
        <v>283</v>
      </c>
      <c r="B378" s="8" t="s">
        <v>290</v>
      </c>
    </row>
    <row r="379" spans="1:2" x14ac:dyDescent="0.3">
      <c r="A379" t="s">
        <v>283</v>
      </c>
      <c r="B379" s="8" t="s">
        <v>291</v>
      </c>
    </row>
    <row r="380" spans="1:2" x14ac:dyDescent="0.3">
      <c r="A380" t="s">
        <v>283</v>
      </c>
      <c r="B380" s="8" t="s">
        <v>292</v>
      </c>
    </row>
    <row r="381" spans="1:2" x14ac:dyDescent="0.3">
      <c r="A381" t="s">
        <v>283</v>
      </c>
      <c r="B381" s="8" t="s">
        <v>293</v>
      </c>
    </row>
    <row r="382" spans="1:2" x14ac:dyDescent="0.3">
      <c r="A382" t="s">
        <v>283</v>
      </c>
      <c r="B382" s="8" t="s">
        <v>294</v>
      </c>
    </row>
    <row r="383" spans="1:2" x14ac:dyDescent="0.3">
      <c r="A383" t="s">
        <v>283</v>
      </c>
      <c r="B383" s="8" t="s">
        <v>316</v>
      </c>
    </row>
    <row r="384" spans="1:2" x14ac:dyDescent="0.3">
      <c r="A384" t="s">
        <v>283</v>
      </c>
      <c r="B384" s="8" t="s">
        <v>296</v>
      </c>
    </row>
    <row r="385" spans="1:2" x14ac:dyDescent="0.3">
      <c r="A385" t="s">
        <v>283</v>
      </c>
      <c r="B385" s="8" t="s">
        <v>317</v>
      </c>
    </row>
    <row r="386" spans="1:2" x14ac:dyDescent="0.3">
      <c r="A386" t="s">
        <v>283</v>
      </c>
      <c r="B386" s="8" t="s">
        <v>318</v>
      </c>
    </row>
    <row r="387" spans="1:2" x14ac:dyDescent="0.3">
      <c r="A387" t="s">
        <v>283</v>
      </c>
      <c r="B387" s="8" t="s">
        <v>299</v>
      </c>
    </row>
    <row r="388" spans="1:2" x14ac:dyDescent="0.3">
      <c r="A388" t="s">
        <v>283</v>
      </c>
      <c r="B388" s="8" t="s">
        <v>300</v>
      </c>
    </row>
    <row r="389" spans="1:2" x14ac:dyDescent="0.3">
      <c r="A389" t="s">
        <v>283</v>
      </c>
      <c r="B389" s="8" t="s">
        <v>301</v>
      </c>
    </row>
    <row r="390" spans="1:2" x14ac:dyDescent="0.3">
      <c r="A390" t="s">
        <v>283</v>
      </c>
      <c r="B390" s="8" t="s">
        <v>302</v>
      </c>
    </row>
    <row r="391" spans="1:2" x14ac:dyDescent="0.3">
      <c r="A391" t="s">
        <v>283</v>
      </c>
      <c r="B391" s="8" t="s">
        <v>303</v>
      </c>
    </row>
    <row r="392" spans="1:2" x14ac:dyDescent="0.3">
      <c r="A392" t="s">
        <v>283</v>
      </c>
      <c r="B392" s="8" t="s">
        <v>304</v>
      </c>
    </row>
    <row r="393" spans="1:2" x14ac:dyDescent="0.3">
      <c r="A393" t="s">
        <v>283</v>
      </c>
      <c r="B393" s="8" t="s">
        <v>305</v>
      </c>
    </row>
    <row r="394" spans="1:2" x14ac:dyDescent="0.3">
      <c r="A394" t="s">
        <v>283</v>
      </c>
      <c r="B394" s="8" t="s">
        <v>306</v>
      </c>
    </row>
    <row r="395" spans="1:2" x14ac:dyDescent="0.3">
      <c r="A395" t="s">
        <v>283</v>
      </c>
      <c r="B395" s="8" t="s">
        <v>307</v>
      </c>
    </row>
    <row r="396" spans="1:2" x14ac:dyDescent="0.3">
      <c r="A396" t="s">
        <v>283</v>
      </c>
      <c r="B396" s="8" t="s">
        <v>308</v>
      </c>
    </row>
    <row r="397" spans="1:2" x14ac:dyDescent="0.3">
      <c r="A397" t="s">
        <v>283</v>
      </c>
      <c r="B397" s="8" t="s">
        <v>309</v>
      </c>
    </row>
    <row r="398" spans="1:2" x14ac:dyDescent="0.3">
      <c r="A398" t="s">
        <v>283</v>
      </c>
      <c r="B398" s="8" t="s">
        <v>310</v>
      </c>
    </row>
    <row r="399" spans="1:2" x14ac:dyDescent="0.3">
      <c r="A399" t="s">
        <v>283</v>
      </c>
    </row>
    <row r="400" spans="1:2" x14ac:dyDescent="0.3">
      <c r="A400" t="s">
        <v>283</v>
      </c>
      <c r="B400" s="8" t="s">
        <v>319</v>
      </c>
    </row>
    <row r="401" spans="1:2" x14ac:dyDescent="0.3">
      <c r="A401" t="s">
        <v>283</v>
      </c>
      <c r="B401" s="8" t="s">
        <v>285</v>
      </c>
    </row>
    <row r="402" spans="1:2" x14ac:dyDescent="0.3">
      <c r="A402" t="s">
        <v>283</v>
      </c>
      <c r="B402" s="8" t="s">
        <v>286</v>
      </c>
    </row>
    <row r="403" spans="1:2" x14ac:dyDescent="0.3">
      <c r="A403" t="s">
        <v>283</v>
      </c>
      <c r="B403" s="8" t="s">
        <v>287</v>
      </c>
    </row>
    <row r="404" spans="1:2" x14ac:dyDescent="0.3">
      <c r="A404" t="s">
        <v>283</v>
      </c>
      <c r="B404" s="8" t="s">
        <v>288</v>
      </c>
    </row>
    <row r="405" spans="1:2" x14ac:dyDescent="0.3">
      <c r="A405" t="s">
        <v>283</v>
      </c>
      <c r="B405" s="8" t="s">
        <v>289</v>
      </c>
    </row>
    <row r="406" spans="1:2" x14ac:dyDescent="0.3">
      <c r="A406" t="s">
        <v>283</v>
      </c>
      <c r="B406" s="8" t="s">
        <v>290</v>
      </c>
    </row>
    <row r="407" spans="1:2" x14ac:dyDescent="0.3">
      <c r="A407" t="s">
        <v>283</v>
      </c>
      <c r="B407" s="8" t="s">
        <v>291</v>
      </c>
    </row>
    <row r="408" spans="1:2" x14ac:dyDescent="0.3">
      <c r="A408" t="s">
        <v>283</v>
      </c>
      <c r="B408" s="8" t="s">
        <v>292</v>
      </c>
    </row>
    <row r="409" spans="1:2" x14ac:dyDescent="0.3">
      <c r="A409" t="s">
        <v>283</v>
      </c>
      <c r="B409" s="8" t="s">
        <v>293</v>
      </c>
    </row>
    <row r="410" spans="1:2" x14ac:dyDescent="0.3">
      <c r="A410" t="s">
        <v>283</v>
      </c>
      <c r="B410" s="8" t="s">
        <v>294</v>
      </c>
    </row>
    <row r="411" spans="1:2" x14ac:dyDescent="0.3">
      <c r="A411" t="s">
        <v>283</v>
      </c>
      <c r="B411" s="8" t="s">
        <v>320</v>
      </c>
    </row>
    <row r="412" spans="1:2" x14ac:dyDescent="0.3">
      <c r="A412" t="s">
        <v>283</v>
      </c>
      <c r="B412" s="8" t="s">
        <v>296</v>
      </c>
    </row>
    <row r="413" spans="1:2" x14ac:dyDescent="0.3">
      <c r="A413" t="s">
        <v>283</v>
      </c>
      <c r="B413" s="8" t="s">
        <v>321</v>
      </c>
    </row>
    <row r="414" spans="1:2" x14ac:dyDescent="0.3">
      <c r="A414" t="s">
        <v>283</v>
      </c>
      <c r="B414" s="8" t="s">
        <v>322</v>
      </c>
    </row>
    <row r="415" spans="1:2" x14ac:dyDescent="0.3">
      <c r="A415" t="s">
        <v>283</v>
      </c>
      <c r="B415" s="8" t="s">
        <v>299</v>
      </c>
    </row>
    <row r="416" spans="1:2" x14ac:dyDescent="0.3">
      <c r="A416" t="s">
        <v>283</v>
      </c>
      <c r="B416" s="8" t="s">
        <v>300</v>
      </c>
    </row>
    <row r="417" spans="1:2" x14ac:dyDescent="0.3">
      <c r="A417" t="s">
        <v>283</v>
      </c>
      <c r="B417" s="8" t="s">
        <v>301</v>
      </c>
    </row>
    <row r="418" spans="1:2" x14ac:dyDescent="0.3">
      <c r="A418" t="s">
        <v>283</v>
      </c>
      <c r="B418" s="8" t="s">
        <v>302</v>
      </c>
    </row>
    <row r="419" spans="1:2" x14ac:dyDescent="0.3">
      <c r="A419" t="s">
        <v>283</v>
      </c>
      <c r="B419" s="8" t="s">
        <v>303</v>
      </c>
    </row>
    <row r="420" spans="1:2" x14ac:dyDescent="0.3">
      <c r="A420" t="s">
        <v>283</v>
      </c>
      <c r="B420" s="8" t="s">
        <v>304</v>
      </c>
    </row>
    <row r="421" spans="1:2" x14ac:dyDescent="0.3">
      <c r="A421" t="s">
        <v>283</v>
      </c>
      <c r="B421" s="8" t="s">
        <v>305</v>
      </c>
    </row>
    <row r="422" spans="1:2" x14ac:dyDescent="0.3">
      <c r="A422" t="s">
        <v>283</v>
      </c>
      <c r="B422" s="8" t="s">
        <v>306</v>
      </c>
    </row>
    <row r="423" spans="1:2" x14ac:dyDescent="0.3">
      <c r="A423" t="s">
        <v>283</v>
      </c>
      <c r="B423" s="8" t="s">
        <v>307</v>
      </c>
    </row>
    <row r="424" spans="1:2" x14ac:dyDescent="0.3">
      <c r="A424" t="s">
        <v>283</v>
      </c>
      <c r="B424" s="8" t="s">
        <v>308</v>
      </c>
    </row>
    <row r="425" spans="1:2" x14ac:dyDescent="0.3">
      <c r="A425" t="s">
        <v>283</v>
      </c>
      <c r="B425" s="8" t="s">
        <v>309</v>
      </c>
    </row>
    <row r="426" spans="1:2" x14ac:dyDescent="0.3">
      <c r="A426" t="s">
        <v>283</v>
      </c>
      <c r="B426" s="8" t="s">
        <v>310</v>
      </c>
    </row>
    <row r="427" spans="1:2" x14ac:dyDescent="0.3">
      <c r="A427" t="s">
        <v>283</v>
      </c>
    </row>
    <row r="428" spans="1:2" x14ac:dyDescent="0.3">
      <c r="A428" t="s">
        <v>283</v>
      </c>
      <c r="B428" s="8" t="s">
        <v>323</v>
      </c>
    </row>
    <row r="429" spans="1:2" x14ac:dyDescent="0.3">
      <c r="A429" t="s">
        <v>283</v>
      </c>
      <c r="B429" s="8" t="s">
        <v>285</v>
      </c>
    </row>
    <row r="430" spans="1:2" x14ac:dyDescent="0.3">
      <c r="A430" t="s">
        <v>283</v>
      </c>
      <c r="B430" s="8" t="s">
        <v>286</v>
      </c>
    </row>
    <row r="431" spans="1:2" x14ac:dyDescent="0.3">
      <c r="A431" t="s">
        <v>283</v>
      </c>
      <c r="B431" s="8" t="s">
        <v>287</v>
      </c>
    </row>
    <row r="432" spans="1:2" x14ac:dyDescent="0.3">
      <c r="A432" t="s">
        <v>283</v>
      </c>
      <c r="B432" s="8" t="s">
        <v>288</v>
      </c>
    </row>
    <row r="433" spans="1:2" x14ac:dyDescent="0.3">
      <c r="A433" t="s">
        <v>283</v>
      </c>
      <c r="B433" s="8" t="s">
        <v>289</v>
      </c>
    </row>
    <row r="434" spans="1:2" x14ac:dyDescent="0.3">
      <c r="A434" t="s">
        <v>283</v>
      </c>
      <c r="B434" s="8" t="s">
        <v>290</v>
      </c>
    </row>
    <row r="435" spans="1:2" x14ac:dyDescent="0.3">
      <c r="A435" t="s">
        <v>283</v>
      </c>
      <c r="B435" s="8" t="s">
        <v>291</v>
      </c>
    </row>
    <row r="436" spans="1:2" x14ac:dyDescent="0.3">
      <c r="A436" t="s">
        <v>283</v>
      </c>
      <c r="B436" s="8" t="s">
        <v>292</v>
      </c>
    </row>
    <row r="437" spans="1:2" x14ac:dyDescent="0.3">
      <c r="A437" t="s">
        <v>283</v>
      </c>
      <c r="B437" s="8" t="s">
        <v>293</v>
      </c>
    </row>
    <row r="438" spans="1:2" x14ac:dyDescent="0.3">
      <c r="A438" t="s">
        <v>283</v>
      </c>
      <c r="B438" s="8" t="s">
        <v>294</v>
      </c>
    </row>
    <row r="439" spans="1:2" x14ac:dyDescent="0.3">
      <c r="A439" t="s">
        <v>283</v>
      </c>
      <c r="B439" s="8" t="s">
        <v>324</v>
      </c>
    </row>
    <row r="440" spans="1:2" x14ac:dyDescent="0.3">
      <c r="A440" t="s">
        <v>283</v>
      </c>
      <c r="B440" s="8" t="s">
        <v>296</v>
      </c>
    </row>
    <row r="441" spans="1:2" x14ac:dyDescent="0.3">
      <c r="A441" t="s">
        <v>283</v>
      </c>
      <c r="B441" s="8" t="s">
        <v>325</v>
      </c>
    </row>
    <row r="442" spans="1:2" x14ac:dyDescent="0.3">
      <c r="A442" t="s">
        <v>283</v>
      </c>
      <c r="B442" s="8" t="s">
        <v>326</v>
      </c>
    </row>
    <row r="443" spans="1:2" x14ac:dyDescent="0.3">
      <c r="A443" t="s">
        <v>283</v>
      </c>
      <c r="B443" s="8" t="s">
        <v>299</v>
      </c>
    </row>
    <row r="444" spans="1:2" x14ac:dyDescent="0.3">
      <c r="A444" t="s">
        <v>283</v>
      </c>
      <c r="B444" s="8" t="s">
        <v>300</v>
      </c>
    </row>
    <row r="445" spans="1:2" x14ac:dyDescent="0.3">
      <c r="A445" t="s">
        <v>283</v>
      </c>
      <c r="B445" s="8" t="s">
        <v>301</v>
      </c>
    </row>
    <row r="446" spans="1:2" x14ac:dyDescent="0.3">
      <c r="A446" t="s">
        <v>283</v>
      </c>
      <c r="B446" s="8" t="s">
        <v>302</v>
      </c>
    </row>
    <row r="447" spans="1:2" x14ac:dyDescent="0.3">
      <c r="A447" t="s">
        <v>283</v>
      </c>
      <c r="B447" s="8" t="s">
        <v>303</v>
      </c>
    </row>
    <row r="448" spans="1:2" x14ac:dyDescent="0.3">
      <c r="A448" t="s">
        <v>283</v>
      </c>
      <c r="B448" s="8" t="s">
        <v>304</v>
      </c>
    </row>
    <row r="449" spans="1:2" x14ac:dyDescent="0.3">
      <c r="A449" t="s">
        <v>283</v>
      </c>
      <c r="B449" s="8" t="s">
        <v>305</v>
      </c>
    </row>
    <row r="450" spans="1:2" x14ac:dyDescent="0.3">
      <c r="A450" t="s">
        <v>283</v>
      </c>
      <c r="B450" s="8" t="s">
        <v>306</v>
      </c>
    </row>
    <row r="451" spans="1:2" x14ac:dyDescent="0.3">
      <c r="A451" t="s">
        <v>283</v>
      </c>
      <c r="B451" s="8" t="s">
        <v>307</v>
      </c>
    </row>
    <row r="452" spans="1:2" x14ac:dyDescent="0.3">
      <c r="A452" t="s">
        <v>283</v>
      </c>
      <c r="B452" s="8" t="s">
        <v>308</v>
      </c>
    </row>
    <row r="453" spans="1:2" x14ac:dyDescent="0.3">
      <c r="A453" t="s">
        <v>283</v>
      </c>
      <c r="B453" s="8" t="s">
        <v>309</v>
      </c>
    </row>
    <row r="454" spans="1:2" x14ac:dyDescent="0.3">
      <c r="A454" t="s">
        <v>283</v>
      </c>
      <c r="B454" s="8" t="s">
        <v>310</v>
      </c>
    </row>
    <row r="455" spans="1:2" x14ac:dyDescent="0.3">
      <c r="A455" t="s">
        <v>283</v>
      </c>
    </row>
    <row r="456" spans="1:2" x14ac:dyDescent="0.3">
      <c r="A456" t="s">
        <v>283</v>
      </c>
      <c r="B456" s="8" t="s">
        <v>327</v>
      </c>
    </row>
    <row r="457" spans="1:2" x14ac:dyDescent="0.3">
      <c r="A457" t="s">
        <v>283</v>
      </c>
      <c r="B457" s="8" t="s">
        <v>285</v>
      </c>
    </row>
    <row r="458" spans="1:2" x14ac:dyDescent="0.3">
      <c r="A458" t="s">
        <v>283</v>
      </c>
      <c r="B458" s="8" t="s">
        <v>286</v>
      </c>
    </row>
    <row r="459" spans="1:2" x14ac:dyDescent="0.3">
      <c r="A459" t="s">
        <v>283</v>
      </c>
      <c r="B459" s="8" t="s">
        <v>287</v>
      </c>
    </row>
    <row r="460" spans="1:2" x14ac:dyDescent="0.3">
      <c r="A460" t="s">
        <v>283</v>
      </c>
      <c r="B460" s="8" t="s">
        <v>288</v>
      </c>
    </row>
    <row r="461" spans="1:2" x14ac:dyDescent="0.3">
      <c r="A461" t="s">
        <v>283</v>
      </c>
      <c r="B461" s="8" t="s">
        <v>289</v>
      </c>
    </row>
    <row r="462" spans="1:2" x14ac:dyDescent="0.3">
      <c r="A462" t="s">
        <v>283</v>
      </c>
      <c r="B462" s="8" t="s">
        <v>290</v>
      </c>
    </row>
    <row r="463" spans="1:2" x14ac:dyDescent="0.3">
      <c r="A463" t="s">
        <v>283</v>
      </c>
      <c r="B463" s="8" t="s">
        <v>291</v>
      </c>
    </row>
    <row r="464" spans="1:2" x14ac:dyDescent="0.3">
      <c r="A464" t="s">
        <v>283</v>
      </c>
      <c r="B464" s="8" t="s">
        <v>292</v>
      </c>
    </row>
    <row r="465" spans="1:2" x14ac:dyDescent="0.3">
      <c r="A465" t="s">
        <v>283</v>
      </c>
      <c r="B465" s="8" t="s">
        <v>293</v>
      </c>
    </row>
    <row r="466" spans="1:2" x14ac:dyDescent="0.3">
      <c r="A466" t="s">
        <v>283</v>
      </c>
      <c r="B466" s="8" t="s">
        <v>294</v>
      </c>
    </row>
    <row r="467" spans="1:2" x14ac:dyDescent="0.3">
      <c r="A467" t="s">
        <v>283</v>
      </c>
      <c r="B467" s="8" t="s">
        <v>328</v>
      </c>
    </row>
    <row r="468" spans="1:2" x14ac:dyDescent="0.3">
      <c r="A468" t="s">
        <v>283</v>
      </c>
      <c r="B468" s="8" t="s">
        <v>296</v>
      </c>
    </row>
    <row r="469" spans="1:2" x14ac:dyDescent="0.3">
      <c r="A469" t="s">
        <v>283</v>
      </c>
      <c r="B469" s="8" t="s">
        <v>329</v>
      </c>
    </row>
    <row r="470" spans="1:2" x14ac:dyDescent="0.3">
      <c r="A470" t="s">
        <v>283</v>
      </c>
      <c r="B470" s="8" t="s">
        <v>330</v>
      </c>
    </row>
    <row r="471" spans="1:2" x14ac:dyDescent="0.3">
      <c r="A471" t="s">
        <v>283</v>
      </c>
      <c r="B471" s="8" t="s">
        <v>299</v>
      </c>
    </row>
    <row r="472" spans="1:2" x14ac:dyDescent="0.3">
      <c r="A472" t="s">
        <v>283</v>
      </c>
      <c r="B472" s="8" t="s">
        <v>300</v>
      </c>
    </row>
    <row r="473" spans="1:2" x14ac:dyDescent="0.3">
      <c r="A473" t="s">
        <v>283</v>
      </c>
      <c r="B473" s="8" t="s">
        <v>301</v>
      </c>
    </row>
    <row r="474" spans="1:2" x14ac:dyDescent="0.3">
      <c r="A474" t="s">
        <v>283</v>
      </c>
      <c r="B474" s="8" t="s">
        <v>302</v>
      </c>
    </row>
    <row r="475" spans="1:2" x14ac:dyDescent="0.3">
      <c r="A475" t="s">
        <v>283</v>
      </c>
      <c r="B475" s="8" t="s">
        <v>303</v>
      </c>
    </row>
    <row r="476" spans="1:2" x14ac:dyDescent="0.3">
      <c r="A476" t="s">
        <v>283</v>
      </c>
      <c r="B476" s="8" t="s">
        <v>304</v>
      </c>
    </row>
    <row r="477" spans="1:2" x14ac:dyDescent="0.3">
      <c r="A477" t="s">
        <v>283</v>
      </c>
      <c r="B477" s="8" t="s">
        <v>305</v>
      </c>
    </row>
    <row r="478" spans="1:2" x14ac:dyDescent="0.3">
      <c r="A478" t="s">
        <v>283</v>
      </c>
      <c r="B478" s="8" t="s">
        <v>306</v>
      </c>
    </row>
    <row r="479" spans="1:2" x14ac:dyDescent="0.3">
      <c r="A479" t="s">
        <v>283</v>
      </c>
      <c r="B479" s="8" t="s">
        <v>307</v>
      </c>
    </row>
    <row r="480" spans="1:2" x14ac:dyDescent="0.3">
      <c r="A480" t="s">
        <v>283</v>
      </c>
      <c r="B480" s="8" t="s">
        <v>308</v>
      </c>
    </row>
    <row r="481" spans="1:2" x14ac:dyDescent="0.3">
      <c r="A481" t="s">
        <v>283</v>
      </c>
      <c r="B481" s="8" t="s">
        <v>309</v>
      </c>
    </row>
    <row r="482" spans="1:2" x14ac:dyDescent="0.3">
      <c r="A482" t="s">
        <v>283</v>
      </c>
      <c r="B482" s="8" t="s">
        <v>310</v>
      </c>
    </row>
    <row r="483" spans="1:2" x14ac:dyDescent="0.3">
      <c r="A483" t="s">
        <v>283</v>
      </c>
    </row>
    <row r="484" spans="1:2" x14ac:dyDescent="0.3">
      <c r="A484" t="s">
        <v>283</v>
      </c>
      <c r="B484" s="8" t="s">
        <v>331</v>
      </c>
    </row>
    <row r="485" spans="1:2" x14ac:dyDescent="0.3">
      <c r="A485" t="s">
        <v>283</v>
      </c>
      <c r="B485" s="8" t="s">
        <v>285</v>
      </c>
    </row>
    <row r="486" spans="1:2" x14ac:dyDescent="0.3">
      <c r="A486" t="s">
        <v>283</v>
      </c>
      <c r="B486" s="8" t="s">
        <v>286</v>
      </c>
    </row>
    <row r="487" spans="1:2" x14ac:dyDescent="0.3">
      <c r="A487" t="s">
        <v>283</v>
      </c>
      <c r="B487" s="8" t="s">
        <v>287</v>
      </c>
    </row>
    <row r="488" spans="1:2" x14ac:dyDescent="0.3">
      <c r="A488" t="s">
        <v>283</v>
      </c>
      <c r="B488" s="8" t="s">
        <v>288</v>
      </c>
    </row>
    <row r="489" spans="1:2" x14ac:dyDescent="0.3">
      <c r="A489" t="s">
        <v>283</v>
      </c>
      <c r="B489" s="8" t="s">
        <v>289</v>
      </c>
    </row>
    <row r="490" spans="1:2" x14ac:dyDescent="0.3">
      <c r="A490" t="s">
        <v>283</v>
      </c>
      <c r="B490" s="8" t="s">
        <v>290</v>
      </c>
    </row>
    <row r="491" spans="1:2" x14ac:dyDescent="0.3">
      <c r="A491" t="s">
        <v>283</v>
      </c>
      <c r="B491" s="8" t="s">
        <v>291</v>
      </c>
    </row>
    <row r="492" spans="1:2" x14ac:dyDescent="0.3">
      <c r="A492" t="s">
        <v>283</v>
      </c>
      <c r="B492" s="8" t="s">
        <v>292</v>
      </c>
    </row>
    <row r="493" spans="1:2" x14ac:dyDescent="0.3">
      <c r="A493" t="s">
        <v>283</v>
      </c>
      <c r="B493" s="8" t="s">
        <v>293</v>
      </c>
    </row>
    <row r="494" spans="1:2" x14ac:dyDescent="0.3">
      <c r="A494" t="s">
        <v>283</v>
      </c>
      <c r="B494" s="8" t="s">
        <v>294</v>
      </c>
    </row>
    <row r="495" spans="1:2" x14ac:dyDescent="0.3">
      <c r="A495" t="s">
        <v>283</v>
      </c>
      <c r="B495" s="8" t="s">
        <v>332</v>
      </c>
    </row>
    <row r="496" spans="1:2" x14ac:dyDescent="0.3">
      <c r="A496" t="s">
        <v>283</v>
      </c>
      <c r="B496" s="8" t="s">
        <v>296</v>
      </c>
    </row>
    <row r="497" spans="1:2" x14ac:dyDescent="0.3">
      <c r="A497" t="s">
        <v>283</v>
      </c>
      <c r="B497" s="8" t="s">
        <v>333</v>
      </c>
    </row>
    <row r="498" spans="1:2" x14ac:dyDescent="0.3">
      <c r="A498" t="s">
        <v>283</v>
      </c>
      <c r="B498" s="8" t="s">
        <v>334</v>
      </c>
    </row>
    <row r="499" spans="1:2" x14ac:dyDescent="0.3">
      <c r="A499" t="s">
        <v>283</v>
      </c>
      <c r="B499" s="8" t="s">
        <v>299</v>
      </c>
    </row>
    <row r="500" spans="1:2" x14ac:dyDescent="0.3">
      <c r="A500" t="s">
        <v>283</v>
      </c>
      <c r="B500" s="8" t="s">
        <v>300</v>
      </c>
    </row>
    <row r="501" spans="1:2" x14ac:dyDescent="0.3">
      <c r="A501" t="s">
        <v>283</v>
      </c>
      <c r="B501" s="8" t="s">
        <v>301</v>
      </c>
    </row>
    <row r="502" spans="1:2" x14ac:dyDescent="0.3">
      <c r="A502" t="s">
        <v>283</v>
      </c>
      <c r="B502" s="8" t="s">
        <v>302</v>
      </c>
    </row>
    <row r="503" spans="1:2" x14ac:dyDescent="0.3">
      <c r="A503" t="s">
        <v>283</v>
      </c>
      <c r="B503" s="8" t="s">
        <v>303</v>
      </c>
    </row>
    <row r="504" spans="1:2" x14ac:dyDescent="0.3">
      <c r="A504" t="s">
        <v>283</v>
      </c>
      <c r="B504" s="8" t="s">
        <v>304</v>
      </c>
    </row>
    <row r="505" spans="1:2" x14ac:dyDescent="0.3">
      <c r="A505" t="s">
        <v>283</v>
      </c>
      <c r="B505" s="8" t="s">
        <v>305</v>
      </c>
    </row>
    <row r="506" spans="1:2" x14ac:dyDescent="0.3">
      <c r="A506" t="s">
        <v>283</v>
      </c>
      <c r="B506" s="8" t="s">
        <v>306</v>
      </c>
    </row>
    <row r="507" spans="1:2" x14ac:dyDescent="0.3">
      <c r="A507" t="s">
        <v>283</v>
      </c>
      <c r="B507" s="8" t="s">
        <v>307</v>
      </c>
    </row>
    <row r="508" spans="1:2" x14ac:dyDescent="0.3">
      <c r="A508" t="s">
        <v>283</v>
      </c>
      <c r="B508" s="8" t="s">
        <v>308</v>
      </c>
    </row>
    <row r="509" spans="1:2" x14ac:dyDescent="0.3">
      <c r="A509" t="s">
        <v>283</v>
      </c>
      <c r="B509" s="8" t="s">
        <v>309</v>
      </c>
    </row>
    <row r="510" spans="1:2" x14ac:dyDescent="0.3">
      <c r="A510" t="s">
        <v>283</v>
      </c>
      <c r="B510" s="8" t="s">
        <v>310</v>
      </c>
    </row>
    <row r="511" spans="1:2" x14ac:dyDescent="0.3">
      <c r="A511" t="s">
        <v>283</v>
      </c>
    </row>
    <row r="512" spans="1:2" x14ac:dyDescent="0.3">
      <c r="A512" t="s">
        <v>283</v>
      </c>
      <c r="B512" s="8" t="s">
        <v>335</v>
      </c>
    </row>
    <row r="513" spans="1:2" x14ac:dyDescent="0.3">
      <c r="A513" t="s">
        <v>283</v>
      </c>
      <c r="B513" s="8" t="s">
        <v>285</v>
      </c>
    </row>
    <row r="514" spans="1:2" x14ac:dyDescent="0.3">
      <c r="A514" t="s">
        <v>283</v>
      </c>
      <c r="B514" s="8" t="s">
        <v>286</v>
      </c>
    </row>
    <row r="515" spans="1:2" x14ac:dyDescent="0.3">
      <c r="A515" t="s">
        <v>283</v>
      </c>
      <c r="B515" s="8" t="s">
        <v>287</v>
      </c>
    </row>
    <row r="516" spans="1:2" x14ac:dyDescent="0.3">
      <c r="A516" t="s">
        <v>283</v>
      </c>
      <c r="B516" s="8" t="s">
        <v>288</v>
      </c>
    </row>
    <row r="517" spans="1:2" x14ac:dyDescent="0.3">
      <c r="A517" t="s">
        <v>283</v>
      </c>
      <c r="B517" s="8" t="s">
        <v>289</v>
      </c>
    </row>
    <row r="518" spans="1:2" x14ac:dyDescent="0.3">
      <c r="A518" t="s">
        <v>283</v>
      </c>
      <c r="B518" s="8" t="s">
        <v>290</v>
      </c>
    </row>
    <row r="519" spans="1:2" x14ac:dyDescent="0.3">
      <c r="A519" t="s">
        <v>283</v>
      </c>
      <c r="B519" s="8" t="s">
        <v>291</v>
      </c>
    </row>
    <row r="520" spans="1:2" x14ac:dyDescent="0.3">
      <c r="A520" t="s">
        <v>283</v>
      </c>
      <c r="B520" s="8" t="s">
        <v>292</v>
      </c>
    </row>
    <row r="521" spans="1:2" x14ac:dyDescent="0.3">
      <c r="A521" t="s">
        <v>283</v>
      </c>
      <c r="B521" s="8" t="s">
        <v>293</v>
      </c>
    </row>
    <row r="522" spans="1:2" x14ac:dyDescent="0.3">
      <c r="A522" t="s">
        <v>283</v>
      </c>
      <c r="B522" s="8" t="s">
        <v>294</v>
      </c>
    </row>
    <row r="523" spans="1:2" x14ac:dyDescent="0.3">
      <c r="A523" t="s">
        <v>283</v>
      </c>
      <c r="B523" s="8" t="s">
        <v>336</v>
      </c>
    </row>
    <row r="524" spans="1:2" x14ac:dyDescent="0.3">
      <c r="A524" t="s">
        <v>283</v>
      </c>
      <c r="B524" s="8" t="s">
        <v>296</v>
      </c>
    </row>
    <row r="525" spans="1:2" x14ac:dyDescent="0.3">
      <c r="A525" t="s">
        <v>283</v>
      </c>
      <c r="B525" s="8" t="s">
        <v>337</v>
      </c>
    </row>
    <row r="526" spans="1:2" x14ac:dyDescent="0.3">
      <c r="A526" t="s">
        <v>283</v>
      </c>
      <c r="B526" s="8" t="s">
        <v>338</v>
      </c>
    </row>
    <row r="527" spans="1:2" x14ac:dyDescent="0.3">
      <c r="A527" t="s">
        <v>283</v>
      </c>
      <c r="B527" s="8" t="s">
        <v>299</v>
      </c>
    </row>
    <row r="528" spans="1:2" x14ac:dyDescent="0.3">
      <c r="A528" t="s">
        <v>283</v>
      </c>
      <c r="B528" s="8" t="s">
        <v>300</v>
      </c>
    </row>
    <row r="529" spans="1:2" x14ac:dyDescent="0.3">
      <c r="A529" t="s">
        <v>283</v>
      </c>
      <c r="B529" s="8" t="s">
        <v>301</v>
      </c>
    </row>
    <row r="530" spans="1:2" x14ac:dyDescent="0.3">
      <c r="A530" t="s">
        <v>283</v>
      </c>
      <c r="B530" s="8" t="s">
        <v>302</v>
      </c>
    </row>
    <row r="531" spans="1:2" x14ac:dyDescent="0.3">
      <c r="A531" t="s">
        <v>283</v>
      </c>
      <c r="B531" s="8" t="s">
        <v>303</v>
      </c>
    </row>
    <row r="532" spans="1:2" x14ac:dyDescent="0.3">
      <c r="A532" t="s">
        <v>283</v>
      </c>
      <c r="B532" s="8" t="s">
        <v>304</v>
      </c>
    </row>
    <row r="533" spans="1:2" x14ac:dyDescent="0.3">
      <c r="A533" t="s">
        <v>283</v>
      </c>
      <c r="B533" s="8" t="s">
        <v>305</v>
      </c>
    </row>
    <row r="534" spans="1:2" x14ac:dyDescent="0.3">
      <c r="A534" t="s">
        <v>283</v>
      </c>
      <c r="B534" s="8" t="s">
        <v>306</v>
      </c>
    </row>
    <row r="535" spans="1:2" x14ac:dyDescent="0.3">
      <c r="A535" t="s">
        <v>283</v>
      </c>
      <c r="B535" s="8" t="s">
        <v>307</v>
      </c>
    </row>
    <row r="536" spans="1:2" x14ac:dyDescent="0.3">
      <c r="A536" t="s">
        <v>283</v>
      </c>
      <c r="B536" s="8" t="s">
        <v>308</v>
      </c>
    </row>
    <row r="537" spans="1:2" x14ac:dyDescent="0.3">
      <c r="A537" t="s">
        <v>283</v>
      </c>
      <c r="B537" s="8" t="s">
        <v>309</v>
      </c>
    </row>
    <row r="538" spans="1:2" x14ac:dyDescent="0.3">
      <c r="A538" t="s">
        <v>283</v>
      </c>
      <c r="B538" s="8" t="s">
        <v>310</v>
      </c>
    </row>
    <row r="539" spans="1:2" x14ac:dyDescent="0.3">
      <c r="A539" t="s">
        <v>283</v>
      </c>
    </row>
    <row r="540" spans="1:2" x14ac:dyDescent="0.3">
      <c r="A540" t="s">
        <v>339</v>
      </c>
    </row>
    <row r="541" spans="1:2" x14ac:dyDescent="0.3">
      <c r="A541" t="s">
        <v>339</v>
      </c>
      <c r="B541" s="8" t="s">
        <v>340</v>
      </c>
    </row>
    <row r="542" spans="1:2" x14ac:dyDescent="0.3">
      <c r="A542" t="s">
        <v>339</v>
      </c>
      <c r="B542" s="8" t="s">
        <v>341</v>
      </c>
    </row>
    <row r="543" spans="1:2" x14ac:dyDescent="0.3">
      <c r="A543" t="s">
        <v>339</v>
      </c>
      <c r="B543" s="8" t="s">
        <v>342</v>
      </c>
    </row>
    <row r="544" spans="1:2" x14ac:dyDescent="0.3">
      <c r="A544" t="s">
        <v>339</v>
      </c>
      <c r="B544" s="8" t="s">
        <v>343</v>
      </c>
    </row>
    <row r="545" spans="1:2" x14ac:dyDescent="0.3">
      <c r="A545" t="s">
        <v>339</v>
      </c>
      <c r="B545" s="8" t="s">
        <v>344</v>
      </c>
    </row>
    <row r="546" spans="1:2" x14ac:dyDescent="0.3">
      <c r="A546" t="s">
        <v>339</v>
      </c>
      <c r="B546" s="8" t="s">
        <v>345</v>
      </c>
    </row>
    <row r="547" spans="1:2" x14ac:dyDescent="0.3">
      <c r="A547" t="s">
        <v>339</v>
      </c>
      <c r="B547" s="8" t="s">
        <v>346</v>
      </c>
    </row>
    <row r="548" spans="1:2" x14ac:dyDescent="0.3">
      <c r="A548" t="s">
        <v>339</v>
      </c>
      <c r="B548" s="8" t="s">
        <v>347</v>
      </c>
    </row>
    <row r="549" spans="1:2" x14ac:dyDescent="0.3">
      <c r="A549" t="s">
        <v>339</v>
      </c>
      <c r="B549" s="8" t="s">
        <v>348</v>
      </c>
    </row>
    <row r="550" spans="1:2" x14ac:dyDescent="0.3">
      <c r="A550" t="s">
        <v>339</v>
      </c>
      <c r="B550" s="8" t="s">
        <v>349</v>
      </c>
    </row>
    <row r="551" spans="1:2" x14ac:dyDescent="0.3">
      <c r="A551" t="s">
        <v>339</v>
      </c>
      <c r="B551" s="8" t="s">
        <v>350</v>
      </c>
    </row>
    <row r="552" spans="1:2" x14ac:dyDescent="0.3">
      <c r="A552" t="s">
        <v>339</v>
      </c>
      <c r="B552" s="8" t="s">
        <v>351</v>
      </c>
    </row>
    <row r="553" spans="1:2" x14ac:dyDescent="0.3">
      <c r="A553" t="s">
        <v>339</v>
      </c>
      <c r="B553" s="8" t="s">
        <v>352</v>
      </c>
    </row>
    <row r="554" spans="1:2" x14ac:dyDescent="0.3">
      <c r="A554" t="s">
        <v>339</v>
      </c>
      <c r="B554" s="8" t="s">
        <v>353</v>
      </c>
    </row>
    <row r="555" spans="1:2" x14ac:dyDescent="0.3">
      <c r="A555" t="s">
        <v>339</v>
      </c>
      <c r="B555" s="8" t="s">
        <v>354</v>
      </c>
    </row>
    <row r="556" spans="1:2" x14ac:dyDescent="0.3">
      <c r="A556" t="s">
        <v>339</v>
      </c>
      <c r="B556" s="8" t="s">
        <v>355</v>
      </c>
    </row>
    <row r="557" spans="1:2" x14ac:dyDescent="0.3">
      <c r="A557" t="s">
        <v>339</v>
      </c>
      <c r="B557" s="8" t="s">
        <v>356</v>
      </c>
    </row>
    <row r="558" spans="1:2" x14ac:dyDescent="0.3">
      <c r="A558" t="s">
        <v>339</v>
      </c>
      <c r="B558" s="8" t="s">
        <v>357</v>
      </c>
    </row>
    <row r="559" spans="1:2" x14ac:dyDescent="0.3">
      <c r="A559" t="s">
        <v>339</v>
      </c>
      <c r="B559" s="8" t="s">
        <v>358</v>
      </c>
    </row>
    <row r="560" spans="1:2" x14ac:dyDescent="0.3">
      <c r="A560" t="s">
        <v>339</v>
      </c>
      <c r="B560" s="8" t="s">
        <v>359</v>
      </c>
    </row>
    <row r="561" spans="1:2" x14ac:dyDescent="0.3">
      <c r="A561" t="s">
        <v>339</v>
      </c>
      <c r="B561" s="8" t="s">
        <v>360</v>
      </c>
    </row>
    <row r="562" spans="1:2" x14ac:dyDescent="0.3">
      <c r="A562" t="s">
        <v>339</v>
      </c>
      <c r="B562" s="8" t="s">
        <v>361</v>
      </c>
    </row>
    <row r="563" spans="1:2" x14ac:dyDescent="0.3">
      <c r="A563" t="s">
        <v>339</v>
      </c>
      <c r="B563" s="8" t="s">
        <v>362</v>
      </c>
    </row>
    <row r="564" spans="1:2" x14ac:dyDescent="0.3">
      <c r="A564" t="s">
        <v>339</v>
      </c>
      <c r="B564" s="8" t="s">
        <v>363</v>
      </c>
    </row>
    <row r="565" spans="1:2" x14ac:dyDescent="0.3">
      <c r="A565" t="s">
        <v>339</v>
      </c>
      <c r="B565" s="8" t="s">
        <v>364</v>
      </c>
    </row>
    <row r="566" spans="1:2" x14ac:dyDescent="0.3">
      <c r="A566" t="s">
        <v>339</v>
      </c>
      <c r="B566" s="8" t="s">
        <v>365</v>
      </c>
    </row>
    <row r="567" spans="1:2" x14ac:dyDescent="0.3">
      <c r="A567" t="s">
        <v>339</v>
      </c>
      <c r="B567" s="8" t="s">
        <v>366</v>
      </c>
    </row>
    <row r="568" spans="1:2" x14ac:dyDescent="0.3">
      <c r="A568" t="s">
        <v>339</v>
      </c>
      <c r="B568" s="8" t="s">
        <v>367</v>
      </c>
    </row>
    <row r="569" spans="1:2" x14ac:dyDescent="0.3">
      <c r="A569" t="s">
        <v>339</v>
      </c>
      <c r="B569" s="8" t="s">
        <v>368</v>
      </c>
    </row>
    <row r="570" spans="1:2" x14ac:dyDescent="0.3">
      <c r="A570" t="s">
        <v>339</v>
      </c>
      <c r="B570" s="8" t="s">
        <v>369</v>
      </c>
    </row>
    <row r="571" spans="1:2" x14ac:dyDescent="0.3">
      <c r="A571" t="s">
        <v>339</v>
      </c>
      <c r="B571" s="8" t="s">
        <v>370</v>
      </c>
    </row>
    <row r="572" spans="1:2" x14ac:dyDescent="0.3">
      <c r="A572" t="s">
        <v>339</v>
      </c>
      <c r="B572" s="8" t="s">
        <v>371</v>
      </c>
    </row>
    <row r="573" spans="1:2" x14ac:dyDescent="0.3">
      <c r="A573" t="s">
        <v>339</v>
      </c>
      <c r="B573" s="8" t="s">
        <v>372</v>
      </c>
    </row>
    <row r="574" spans="1:2" x14ac:dyDescent="0.3">
      <c r="A574" t="s">
        <v>339</v>
      </c>
      <c r="B574" s="8" t="s">
        <v>373</v>
      </c>
    </row>
    <row r="575" spans="1:2" x14ac:dyDescent="0.3">
      <c r="A575" t="s">
        <v>339</v>
      </c>
      <c r="B575" s="8" t="s">
        <v>374</v>
      </c>
    </row>
    <row r="576" spans="1:2" x14ac:dyDescent="0.3">
      <c r="A576" t="s">
        <v>339</v>
      </c>
      <c r="B576" s="8" t="s">
        <v>375</v>
      </c>
    </row>
    <row r="577" spans="1:2" x14ac:dyDescent="0.3">
      <c r="A577" t="s">
        <v>339</v>
      </c>
      <c r="B577" s="8" t="s">
        <v>376</v>
      </c>
    </row>
    <row r="578" spans="1:2" x14ac:dyDescent="0.3">
      <c r="A578" t="s">
        <v>339</v>
      </c>
      <c r="B578" s="8" t="s">
        <v>377</v>
      </c>
    </row>
    <row r="579" spans="1:2" x14ac:dyDescent="0.3">
      <c r="A579" t="s">
        <v>339</v>
      </c>
      <c r="B579" s="8" t="s">
        <v>378</v>
      </c>
    </row>
    <row r="580" spans="1:2" x14ac:dyDescent="0.3">
      <c r="A580" t="s">
        <v>339</v>
      </c>
      <c r="B580" s="8" t="s">
        <v>379</v>
      </c>
    </row>
    <row r="581" spans="1:2" x14ac:dyDescent="0.3">
      <c r="A581" t="s">
        <v>339</v>
      </c>
      <c r="B581" s="8" t="s">
        <v>380</v>
      </c>
    </row>
    <row r="582" spans="1:2" x14ac:dyDescent="0.3">
      <c r="A582" t="s">
        <v>339</v>
      </c>
      <c r="B582" s="8" t="s">
        <v>381</v>
      </c>
    </row>
    <row r="583" spans="1:2" x14ac:dyDescent="0.3">
      <c r="A583" t="s">
        <v>339</v>
      </c>
      <c r="B583" s="8" t="s">
        <v>382</v>
      </c>
    </row>
    <row r="584" spans="1:2" x14ac:dyDescent="0.3">
      <c r="A584" t="s">
        <v>339</v>
      </c>
      <c r="B584" s="8" t="s">
        <v>383</v>
      </c>
    </row>
    <row r="585" spans="1:2" x14ac:dyDescent="0.3">
      <c r="A585" t="s">
        <v>339</v>
      </c>
      <c r="B585" s="8" t="s">
        <v>384</v>
      </c>
    </row>
    <row r="586" spans="1:2" x14ac:dyDescent="0.3">
      <c r="A586" t="s">
        <v>339</v>
      </c>
      <c r="B586" s="8" t="s">
        <v>385</v>
      </c>
    </row>
    <row r="587" spans="1:2" x14ac:dyDescent="0.3">
      <c r="A587" t="s">
        <v>339</v>
      </c>
      <c r="B587" s="8" t="s">
        <v>386</v>
      </c>
    </row>
    <row r="588" spans="1:2" x14ac:dyDescent="0.3">
      <c r="A588" t="s">
        <v>339</v>
      </c>
      <c r="B588" s="8" t="s">
        <v>387</v>
      </c>
    </row>
    <row r="589" spans="1:2" x14ac:dyDescent="0.3">
      <c r="A589" t="s">
        <v>339</v>
      </c>
      <c r="B589" s="8" t="s">
        <v>388</v>
      </c>
    </row>
    <row r="590" spans="1:2" x14ac:dyDescent="0.3">
      <c r="A590" t="s">
        <v>339</v>
      </c>
      <c r="B590" s="8" t="s">
        <v>389</v>
      </c>
    </row>
    <row r="591" spans="1:2" x14ac:dyDescent="0.3">
      <c r="A591" t="s">
        <v>339</v>
      </c>
      <c r="B591" s="8" t="s">
        <v>390</v>
      </c>
    </row>
    <row r="592" spans="1:2" x14ac:dyDescent="0.3">
      <c r="A592" t="s">
        <v>391</v>
      </c>
    </row>
    <row r="593" spans="1:2" x14ac:dyDescent="0.3">
      <c r="A593" t="s">
        <v>391</v>
      </c>
      <c r="B593" s="8" t="s">
        <v>392</v>
      </c>
    </row>
    <row r="594" spans="1:2" x14ac:dyDescent="0.3">
      <c r="A594" t="s">
        <v>391</v>
      </c>
      <c r="B594" s="8" t="s">
        <v>393</v>
      </c>
    </row>
    <row r="595" spans="1:2" x14ac:dyDescent="0.3">
      <c r="A595" t="s">
        <v>391</v>
      </c>
      <c r="B595" s="8" t="s">
        <v>394</v>
      </c>
    </row>
    <row r="596" spans="1:2" x14ac:dyDescent="0.3">
      <c r="A596" t="s">
        <v>391</v>
      </c>
      <c r="B596" s="8" t="s">
        <v>395</v>
      </c>
    </row>
    <row r="597" spans="1:2" x14ac:dyDescent="0.3">
      <c r="A597" t="s">
        <v>391</v>
      </c>
      <c r="B597" s="8" t="s">
        <v>396</v>
      </c>
    </row>
    <row r="598" spans="1:2" x14ac:dyDescent="0.3">
      <c r="A598" t="s">
        <v>391</v>
      </c>
      <c r="B598" s="8" t="s">
        <v>397</v>
      </c>
    </row>
    <row r="599" spans="1:2" x14ac:dyDescent="0.3">
      <c r="A599" t="s">
        <v>391</v>
      </c>
      <c r="B599" s="8" t="s">
        <v>398</v>
      </c>
    </row>
    <row r="600" spans="1:2" x14ac:dyDescent="0.3">
      <c r="A600" t="s">
        <v>391</v>
      </c>
      <c r="B600" s="8" t="s">
        <v>399</v>
      </c>
    </row>
    <row r="601" spans="1:2" x14ac:dyDescent="0.3">
      <c r="A601" t="s">
        <v>391</v>
      </c>
      <c r="B601" s="8" t="s">
        <v>400</v>
      </c>
    </row>
    <row r="602" spans="1:2" x14ac:dyDescent="0.3">
      <c r="A602" t="s">
        <v>391</v>
      </c>
      <c r="B602" s="8" t="s">
        <v>401</v>
      </c>
    </row>
    <row r="603" spans="1:2" x14ac:dyDescent="0.3">
      <c r="A603" t="s">
        <v>391</v>
      </c>
      <c r="B603" s="8" t="s">
        <v>402</v>
      </c>
    </row>
    <row r="604" spans="1:2" x14ac:dyDescent="0.3">
      <c r="A604" t="s">
        <v>391</v>
      </c>
      <c r="B604" s="8" t="s">
        <v>403</v>
      </c>
    </row>
    <row r="605" spans="1:2" x14ac:dyDescent="0.3">
      <c r="A605" t="s">
        <v>391</v>
      </c>
      <c r="B605" s="8" t="s">
        <v>404</v>
      </c>
    </row>
    <row r="606" spans="1:2" x14ac:dyDescent="0.3">
      <c r="A606" t="s">
        <v>391</v>
      </c>
      <c r="B606" s="8" t="s">
        <v>405</v>
      </c>
    </row>
    <row r="607" spans="1:2" x14ac:dyDescent="0.3">
      <c r="A607" t="s">
        <v>391</v>
      </c>
      <c r="B607" s="8" t="s">
        <v>406</v>
      </c>
    </row>
    <row r="608" spans="1:2" x14ac:dyDescent="0.3">
      <c r="A608" t="s">
        <v>391</v>
      </c>
      <c r="B608" s="8" t="s">
        <v>407</v>
      </c>
    </row>
    <row r="609" spans="1:2" x14ac:dyDescent="0.3">
      <c r="A609" t="s">
        <v>408</v>
      </c>
    </row>
    <row r="610" spans="1:2" x14ac:dyDescent="0.3">
      <c r="A610" t="s">
        <v>408</v>
      </c>
      <c r="B610" s="8" t="s">
        <v>409</v>
      </c>
    </row>
    <row r="611" spans="1:2" x14ac:dyDescent="0.3">
      <c r="A611" t="s">
        <v>410</v>
      </c>
    </row>
    <row r="612" spans="1:2" x14ac:dyDescent="0.3">
      <c r="A612" t="s">
        <v>410</v>
      </c>
      <c r="B612" s="8" t="s">
        <v>411</v>
      </c>
    </row>
    <row r="613" spans="1:2" x14ac:dyDescent="0.3">
      <c r="A613" t="s">
        <v>410</v>
      </c>
      <c r="B613" s="8" t="s">
        <v>412</v>
      </c>
    </row>
    <row r="614" spans="1:2" x14ac:dyDescent="0.3">
      <c r="A614" t="s">
        <v>410</v>
      </c>
      <c r="B614" s="8" t="s">
        <v>413</v>
      </c>
    </row>
    <row r="615" spans="1:2" x14ac:dyDescent="0.3">
      <c r="A615" t="s">
        <v>410</v>
      </c>
      <c r="B615" s="8" t="s">
        <v>414</v>
      </c>
    </row>
    <row r="616" spans="1:2" x14ac:dyDescent="0.3">
      <c r="A616" t="s">
        <v>410</v>
      </c>
      <c r="B616" s="8" t="s">
        <v>415</v>
      </c>
    </row>
    <row r="617" spans="1:2" x14ac:dyDescent="0.3">
      <c r="A617" t="s">
        <v>410</v>
      </c>
      <c r="B617" s="8" t="s">
        <v>416</v>
      </c>
    </row>
    <row r="618" spans="1:2" x14ac:dyDescent="0.3">
      <c r="A618" t="s">
        <v>417</v>
      </c>
    </row>
    <row r="619" spans="1:2" x14ac:dyDescent="0.3">
      <c r="A619" t="s">
        <v>418</v>
      </c>
    </row>
    <row r="620" spans="1:2" x14ac:dyDescent="0.3">
      <c r="A620" t="s">
        <v>418</v>
      </c>
      <c r="B620" s="8" t="s">
        <v>419</v>
      </c>
    </row>
    <row r="621" spans="1:2" x14ac:dyDescent="0.3">
      <c r="A621" t="s">
        <v>418</v>
      </c>
      <c r="B621" s="8" t="s">
        <v>420</v>
      </c>
    </row>
    <row r="622" spans="1:2" x14ac:dyDescent="0.3">
      <c r="A622" t="s">
        <v>418</v>
      </c>
      <c r="B622" s="8" t="s">
        <v>421</v>
      </c>
    </row>
    <row r="623" spans="1:2" x14ac:dyDescent="0.3">
      <c r="A623" t="s">
        <v>418</v>
      </c>
      <c r="B623" s="8" t="s">
        <v>422</v>
      </c>
    </row>
    <row r="624" spans="1:2" x14ac:dyDescent="0.3">
      <c r="A624" t="s">
        <v>418</v>
      </c>
      <c r="B624" s="8" t="s">
        <v>423</v>
      </c>
    </row>
    <row r="625" spans="1:2" x14ac:dyDescent="0.3">
      <c r="A625" t="s">
        <v>418</v>
      </c>
      <c r="B625" s="8" t="s">
        <v>424</v>
      </c>
    </row>
    <row r="626" spans="1:2" x14ac:dyDescent="0.3">
      <c r="A626" t="s">
        <v>418</v>
      </c>
      <c r="B626" s="8" t="s">
        <v>425</v>
      </c>
    </row>
    <row r="627" spans="1:2" x14ac:dyDescent="0.3">
      <c r="A627" t="s">
        <v>418</v>
      </c>
      <c r="B627" s="8" t="s">
        <v>426</v>
      </c>
    </row>
    <row r="628" spans="1:2" x14ac:dyDescent="0.3">
      <c r="A628" t="s">
        <v>418</v>
      </c>
      <c r="B628" s="8" t="s">
        <v>427</v>
      </c>
    </row>
    <row r="629" spans="1:2" x14ac:dyDescent="0.3">
      <c r="A629" t="s">
        <v>418</v>
      </c>
      <c r="B629" s="8" t="s">
        <v>428</v>
      </c>
    </row>
    <row r="630" spans="1:2" x14ac:dyDescent="0.3">
      <c r="A630" t="s">
        <v>418</v>
      </c>
      <c r="B630" s="8" t="s">
        <v>429</v>
      </c>
    </row>
    <row r="631" spans="1:2" x14ac:dyDescent="0.3">
      <c r="A631" t="s">
        <v>418</v>
      </c>
      <c r="B631" s="8" t="s">
        <v>430</v>
      </c>
    </row>
    <row r="632" spans="1:2" x14ac:dyDescent="0.3">
      <c r="A632" t="s">
        <v>418</v>
      </c>
      <c r="B632" s="8" t="s">
        <v>431</v>
      </c>
    </row>
    <row r="633" spans="1:2" x14ac:dyDescent="0.3">
      <c r="A633" t="s">
        <v>418</v>
      </c>
      <c r="B633" s="8" t="s">
        <v>432</v>
      </c>
    </row>
    <row r="634" spans="1:2" x14ac:dyDescent="0.3">
      <c r="A634" t="s">
        <v>418</v>
      </c>
      <c r="B634" s="8" t="s">
        <v>433</v>
      </c>
    </row>
    <row r="635" spans="1:2" x14ac:dyDescent="0.3">
      <c r="A635" t="s">
        <v>418</v>
      </c>
      <c r="B635" s="8" t="s">
        <v>434</v>
      </c>
    </row>
    <row r="636" spans="1:2" x14ac:dyDescent="0.3">
      <c r="A636" t="s">
        <v>418</v>
      </c>
      <c r="B636" s="8" t="s">
        <v>435</v>
      </c>
    </row>
    <row r="637" spans="1:2" x14ac:dyDescent="0.3">
      <c r="A637" t="s">
        <v>436</v>
      </c>
    </row>
    <row r="638" spans="1:2" x14ac:dyDescent="0.3">
      <c r="A638" t="s">
        <v>437</v>
      </c>
    </row>
    <row r="639" spans="1:2" x14ac:dyDescent="0.3">
      <c r="A639" t="s">
        <v>437</v>
      </c>
      <c r="B639" s="8" t="s">
        <v>438</v>
      </c>
    </row>
    <row r="640" spans="1:2" x14ac:dyDescent="0.3">
      <c r="A640" t="s">
        <v>437</v>
      </c>
      <c r="B640" s="8" t="s">
        <v>439</v>
      </c>
    </row>
    <row r="641" spans="1:2" x14ac:dyDescent="0.3">
      <c r="A641" t="s">
        <v>440</v>
      </c>
    </row>
    <row r="642" spans="1:2" x14ac:dyDescent="0.3">
      <c r="A642" t="s">
        <v>441</v>
      </c>
    </row>
    <row r="643" spans="1:2" x14ac:dyDescent="0.3">
      <c r="A643" t="s">
        <v>442</v>
      </c>
    </row>
    <row r="644" spans="1:2" x14ac:dyDescent="0.3">
      <c r="A644" t="s">
        <v>443</v>
      </c>
    </row>
    <row r="645" spans="1:2" x14ac:dyDescent="0.3">
      <c r="A645" t="s">
        <v>444</v>
      </c>
    </row>
    <row r="646" spans="1:2" x14ac:dyDescent="0.3">
      <c r="A646" t="s">
        <v>444</v>
      </c>
      <c r="B646" s="8" t="s">
        <v>445</v>
      </c>
    </row>
    <row r="647" spans="1:2" x14ac:dyDescent="0.3">
      <c r="A647" t="s">
        <v>444</v>
      </c>
    </row>
    <row r="648" spans="1:2" x14ac:dyDescent="0.3">
      <c r="A648" t="s">
        <v>444</v>
      </c>
      <c r="B648" s="8" t="s">
        <v>446</v>
      </c>
    </row>
    <row r="649" spans="1:2" x14ac:dyDescent="0.3">
      <c r="A649" t="s">
        <v>444</v>
      </c>
      <c r="B649" s="8" t="s">
        <v>447</v>
      </c>
    </row>
    <row r="650" spans="1:2" x14ac:dyDescent="0.3">
      <c r="A650" t="s">
        <v>444</v>
      </c>
      <c r="B650" s="8" t="s">
        <v>448</v>
      </c>
    </row>
    <row r="651" spans="1:2" x14ac:dyDescent="0.3">
      <c r="A651" t="s">
        <v>444</v>
      </c>
      <c r="B651" s="8" t="s">
        <v>449</v>
      </c>
    </row>
    <row r="652" spans="1:2" x14ac:dyDescent="0.3">
      <c r="A652" t="s">
        <v>444</v>
      </c>
      <c r="B652" s="8" t="s">
        <v>450</v>
      </c>
    </row>
    <row r="653" spans="1:2" x14ac:dyDescent="0.3">
      <c r="A653" t="s">
        <v>444</v>
      </c>
      <c r="B653" s="8" t="s">
        <v>451</v>
      </c>
    </row>
    <row r="654" spans="1:2" x14ac:dyDescent="0.3">
      <c r="A654" t="s">
        <v>444</v>
      </c>
      <c r="B654" s="8" t="s">
        <v>452</v>
      </c>
    </row>
    <row r="655" spans="1:2" x14ac:dyDescent="0.3">
      <c r="A655" t="s">
        <v>444</v>
      </c>
      <c r="B655" s="8" t="s">
        <v>453</v>
      </c>
    </row>
    <row r="656" spans="1:2" x14ac:dyDescent="0.3">
      <c r="A656" t="s">
        <v>444</v>
      </c>
      <c r="B656" s="8" t="s">
        <v>454</v>
      </c>
    </row>
    <row r="657" spans="1:2" x14ac:dyDescent="0.3">
      <c r="A657" t="s">
        <v>444</v>
      </c>
      <c r="B657" s="8" t="s">
        <v>455</v>
      </c>
    </row>
    <row r="658" spans="1:2" x14ac:dyDescent="0.3">
      <c r="A658" t="s">
        <v>444</v>
      </c>
      <c r="B658" s="8" t="s">
        <v>456</v>
      </c>
    </row>
    <row r="659" spans="1:2" x14ac:dyDescent="0.3">
      <c r="A659" t="s">
        <v>444</v>
      </c>
      <c r="B659" s="8" t="s">
        <v>457</v>
      </c>
    </row>
    <row r="660" spans="1:2" x14ac:dyDescent="0.3">
      <c r="A660" t="s">
        <v>444</v>
      </c>
      <c r="B660" s="8" t="s">
        <v>458</v>
      </c>
    </row>
    <row r="661" spans="1:2" x14ac:dyDescent="0.3">
      <c r="A661" t="s">
        <v>444</v>
      </c>
      <c r="B661" s="8" t="s">
        <v>459</v>
      </c>
    </row>
    <row r="662" spans="1:2" x14ac:dyDescent="0.3">
      <c r="A662" t="s">
        <v>444</v>
      </c>
      <c r="B662" s="8" t="s">
        <v>460</v>
      </c>
    </row>
    <row r="663" spans="1:2" x14ac:dyDescent="0.3">
      <c r="A663" t="s">
        <v>444</v>
      </c>
      <c r="B663" s="8" t="s">
        <v>461</v>
      </c>
    </row>
    <row r="664" spans="1:2" x14ac:dyDescent="0.3">
      <c r="A664" t="s">
        <v>462</v>
      </c>
    </row>
    <row r="665" spans="1:2" x14ac:dyDescent="0.3">
      <c r="A665" t="s">
        <v>462</v>
      </c>
      <c r="B665" s="8" t="s">
        <v>463</v>
      </c>
    </row>
    <row r="666" spans="1:2" x14ac:dyDescent="0.3">
      <c r="A666" t="s">
        <v>464</v>
      </c>
    </row>
    <row r="667" spans="1:2" x14ac:dyDescent="0.3">
      <c r="A667" t="s">
        <v>465</v>
      </c>
    </row>
    <row r="668" spans="1:2" x14ac:dyDescent="0.3">
      <c r="A668" t="s">
        <v>466</v>
      </c>
    </row>
    <row r="669" spans="1:2" x14ac:dyDescent="0.3">
      <c r="A669" t="s">
        <v>466</v>
      </c>
      <c r="B669" s="8" t="s">
        <v>467</v>
      </c>
    </row>
    <row r="670" spans="1:2" x14ac:dyDescent="0.3">
      <c r="A670" t="s">
        <v>466</v>
      </c>
      <c r="B670" s="8" t="s">
        <v>468</v>
      </c>
    </row>
    <row r="671" spans="1:2" x14ac:dyDescent="0.3">
      <c r="A671" t="s">
        <v>466</v>
      </c>
      <c r="B671" s="8" t="s">
        <v>469</v>
      </c>
    </row>
    <row r="672" spans="1:2" x14ac:dyDescent="0.3">
      <c r="A672" t="s">
        <v>466</v>
      </c>
      <c r="B672" s="8" t="s">
        <v>470</v>
      </c>
    </row>
    <row r="673" spans="1:2" x14ac:dyDescent="0.3">
      <c r="A673" t="s">
        <v>466</v>
      </c>
      <c r="B673" s="8" t="s">
        <v>471</v>
      </c>
    </row>
    <row r="674" spans="1:2" x14ac:dyDescent="0.3">
      <c r="A674" t="s">
        <v>466</v>
      </c>
      <c r="B674" s="8" t="s">
        <v>472</v>
      </c>
    </row>
    <row r="675" spans="1:2" x14ac:dyDescent="0.3">
      <c r="A675" t="s">
        <v>466</v>
      </c>
      <c r="B675" s="8" t="s">
        <v>473</v>
      </c>
    </row>
    <row r="676" spans="1:2" x14ac:dyDescent="0.3">
      <c r="A676" t="s">
        <v>466</v>
      </c>
      <c r="B676" s="8" t="s">
        <v>474</v>
      </c>
    </row>
    <row r="677" spans="1:2" x14ac:dyDescent="0.3">
      <c r="A677" t="s">
        <v>466</v>
      </c>
      <c r="B677" s="8" t="s">
        <v>475</v>
      </c>
    </row>
    <row r="678" spans="1:2" x14ac:dyDescent="0.3">
      <c r="A678" t="s">
        <v>466</v>
      </c>
      <c r="B678" s="8" t="s">
        <v>476</v>
      </c>
    </row>
    <row r="679" spans="1:2" x14ac:dyDescent="0.3">
      <c r="A679" t="s">
        <v>466</v>
      </c>
      <c r="B679" s="8" t="s">
        <v>477</v>
      </c>
    </row>
    <row r="680" spans="1:2" x14ac:dyDescent="0.3">
      <c r="A680" t="s">
        <v>466</v>
      </c>
      <c r="B680" s="8" t="s">
        <v>478</v>
      </c>
    </row>
    <row r="681" spans="1:2" x14ac:dyDescent="0.3">
      <c r="A681" t="s">
        <v>466</v>
      </c>
      <c r="B681" s="8" t="s">
        <v>479</v>
      </c>
    </row>
    <row r="682" spans="1:2" x14ac:dyDescent="0.3">
      <c r="A682" t="s">
        <v>466</v>
      </c>
      <c r="B682" s="8" t="s">
        <v>480</v>
      </c>
    </row>
    <row r="683" spans="1:2" x14ac:dyDescent="0.3">
      <c r="A683" t="s">
        <v>466</v>
      </c>
      <c r="B683" s="8" t="s">
        <v>481</v>
      </c>
    </row>
    <row r="684" spans="1:2" x14ac:dyDescent="0.3">
      <c r="A684" t="s">
        <v>466</v>
      </c>
      <c r="B684" s="8" t="s">
        <v>482</v>
      </c>
    </row>
    <row r="685" spans="1:2" x14ac:dyDescent="0.3">
      <c r="A685" t="s">
        <v>466</v>
      </c>
      <c r="B685" s="8" t="s">
        <v>483</v>
      </c>
    </row>
    <row r="686" spans="1:2" x14ac:dyDescent="0.3">
      <c r="A686" t="s">
        <v>466</v>
      </c>
      <c r="B686" s="8" t="s">
        <v>484</v>
      </c>
    </row>
    <row r="687" spans="1:2" x14ac:dyDescent="0.3">
      <c r="A687" t="s">
        <v>466</v>
      </c>
      <c r="B687" s="8" t="s">
        <v>485</v>
      </c>
    </row>
    <row r="688" spans="1:2" x14ac:dyDescent="0.3">
      <c r="A688" t="s">
        <v>466</v>
      </c>
      <c r="B688" s="8" t="s">
        <v>486</v>
      </c>
    </row>
    <row r="689" spans="1:2" x14ac:dyDescent="0.3">
      <c r="A689" t="s">
        <v>466</v>
      </c>
      <c r="B689" s="8" t="s">
        <v>487</v>
      </c>
    </row>
    <row r="690" spans="1:2" x14ac:dyDescent="0.3">
      <c r="A690" t="s">
        <v>466</v>
      </c>
      <c r="B690" s="8" t="s">
        <v>488</v>
      </c>
    </row>
    <row r="691" spans="1:2" x14ac:dyDescent="0.3">
      <c r="A691" t="s">
        <v>466</v>
      </c>
      <c r="B691" s="8" t="s">
        <v>489</v>
      </c>
    </row>
    <row r="692" spans="1:2" x14ac:dyDescent="0.3">
      <c r="A692" t="s">
        <v>466</v>
      </c>
      <c r="B692" s="8" t="s">
        <v>490</v>
      </c>
    </row>
    <row r="693" spans="1:2" x14ac:dyDescent="0.3">
      <c r="A693" t="s">
        <v>466</v>
      </c>
      <c r="B693" s="8" t="s">
        <v>491</v>
      </c>
    </row>
    <row r="694" spans="1:2" x14ac:dyDescent="0.3">
      <c r="A694" t="s">
        <v>466</v>
      </c>
      <c r="B694" s="8" t="s">
        <v>492</v>
      </c>
    </row>
    <row r="695" spans="1:2" x14ac:dyDescent="0.3">
      <c r="A695" t="s">
        <v>466</v>
      </c>
      <c r="B695" s="8" t="s">
        <v>493</v>
      </c>
    </row>
    <row r="696" spans="1:2" x14ac:dyDescent="0.3">
      <c r="A696" t="s">
        <v>466</v>
      </c>
      <c r="B696" s="8" t="s">
        <v>494</v>
      </c>
    </row>
    <row r="697" spans="1:2" x14ac:dyDescent="0.3">
      <c r="A697" t="s">
        <v>466</v>
      </c>
      <c r="B697" s="8" t="s">
        <v>495</v>
      </c>
    </row>
    <row r="698" spans="1:2" x14ac:dyDescent="0.3">
      <c r="A698" t="s">
        <v>466</v>
      </c>
      <c r="B698" s="8" t="s">
        <v>496</v>
      </c>
    </row>
    <row r="699" spans="1:2" x14ac:dyDescent="0.3">
      <c r="A699" t="s">
        <v>466</v>
      </c>
      <c r="B699" s="8" t="s">
        <v>497</v>
      </c>
    </row>
    <row r="700" spans="1:2" x14ac:dyDescent="0.3">
      <c r="A700" t="s">
        <v>466</v>
      </c>
      <c r="B700" s="8" t="s">
        <v>498</v>
      </c>
    </row>
    <row r="701" spans="1:2" x14ac:dyDescent="0.3">
      <c r="A701" t="s">
        <v>466</v>
      </c>
      <c r="B701" s="8" t="s">
        <v>499</v>
      </c>
    </row>
    <row r="702" spans="1:2" x14ac:dyDescent="0.3">
      <c r="A702" t="s">
        <v>466</v>
      </c>
      <c r="B702" s="8" t="s">
        <v>500</v>
      </c>
    </row>
    <row r="703" spans="1:2" x14ac:dyDescent="0.3">
      <c r="A703" t="s">
        <v>466</v>
      </c>
      <c r="B703" s="8" t="s">
        <v>501</v>
      </c>
    </row>
    <row r="704" spans="1:2" x14ac:dyDescent="0.3">
      <c r="A704" t="s">
        <v>466</v>
      </c>
      <c r="B704" s="8" t="s">
        <v>502</v>
      </c>
    </row>
    <row r="705" spans="1:2" x14ac:dyDescent="0.3">
      <c r="A705" t="s">
        <v>466</v>
      </c>
      <c r="B705" s="8" t="s">
        <v>503</v>
      </c>
    </row>
    <row r="706" spans="1:2" x14ac:dyDescent="0.3">
      <c r="A706" t="s">
        <v>466</v>
      </c>
      <c r="B706" s="8" t="s">
        <v>504</v>
      </c>
    </row>
    <row r="707" spans="1:2" x14ac:dyDescent="0.3">
      <c r="A707" t="s">
        <v>466</v>
      </c>
      <c r="B707" s="8" t="s">
        <v>505</v>
      </c>
    </row>
    <row r="708" spans="1:2" x14ac:dyDescent="0.3">
      <c r="A708" t="s">
        <v>466</v>
      </c>
      <c r="B708" s="8" t="s">
        <v>506</v>
      </c>
    </row>
    <row r="709" spans="1:2" x14ac:dyDescent="0.3">
      <c r="A709" t="s">
        <v>466</v>
      </c>
      <c r="B709" s="8" t="s">
        <v>507</v>
      </c>
    </row>
    <row r="710" spans="1:2" x14ac:dyDescent="0.3">
      <c r="A710" t="s">
        <v>466</v>
      </c>
      <c r="B710" s="8" t="s">
        <v>508</v>
      </c>
    </row>
    <row r="711" spans="1:2" x14ac:dyDescent="0.3">
      <c r="A711" t="s">
        <v>466</v>
      </c>
      <c r="B711" s="8" t="s">
        <v>509</v>
      </c>
    </row>
    <row r="712" spans="1:2" x14ac:dyDescent="0.3">
      <c r="A712" t="s">
        <v>466</v>
      </c>
      <c r="B712" s="8" t="s">
        <v>510</v>
      </c>
    </row>
    <row r="713" spans="1:2" x14ac:dyDescent="0.3">
      <c r="A713" t="s">
        <v>466</v>
      </c>
      <c r="B713" s="8" t="s">
        <v>511</v>
      </c>
    </row>
    <row r="714" spans="1:2" x14ac:dyDescent="0.3">
      <c r="A714" t="s">
        <v>466</v>
      </c>
      <c r="B714" s="8" t="s">
        <v>512</v>
      </c>
    </row>
    <row r="715" spans="1:2" x14ac:dyDescent="0.3">
      <c r="A715" t="s">
        <v>466</v>
      </c>
      <c r="B715" s="8" t="s">
        <v>513</v>
      </c>
    </row>
    <row r="716" spans="1:2" x14ac:dyDescent="0.3">
      <c r="A716" t="s">
        <v>466</v>
      </c>
      <c r="B716" s="8" t="s">
        <v>514</v>
      </c>
    </row>
    <row r="717" spans="1:2" x14ac:dyDescent="0.3">
      <c r="A717" t="s">
        <v>466</v>
      </c>
      <c r="B717" s="8" t="s">
        <v>515</v>
      </c>
    </row>
    <row r="718" spans="1:2" x14ac:dyDescent="0.3">
      <c r="A718" t="s">
        <v>466</v>
      </c>
      <c r="B718" s="8" t="s">
        <v>516</v>
      </c>
    </row>
    <row r="719" spans="1:2" x14ac:dyDescent="0.3">
      <c r="A719" t="s">
        <v>466</v>
      </c>
      <c r="B719" s="8" t="s">
        <v>517</v>
      </c>
    </row>
    <row r="720" spans="1:2" x14ac:dyDescent="0.3">
      <c r="A720" t="s">
        <v>466</v>
      </c>
      <c r="B720" s="8" t="s">
        <v>518</v>
      </c>
    </row>
    <row r="721" spans="1:2" x14ac:dyDescent="0.3">
      <c r="A721" t="s">
        <v>466</v>
      </c>
      <c r="B721" s="8" t="s">
        <v>519</v>
      </c>
    </row>
    <row r="722" spans="1:2" x14ac:dyDescent="0.3">
      <c r="A722" t="s">
        <v>466</v>
      </c>
      <c r="B722" s="8" t="s">
        <v>520</v>
      </c>
    </row>
    <row r="723" spans="1:2" x14ac:dyDescent="0.3">
      <c r="A723" t="s">
        <v>466</v>
      </c>
      <c r="B723" s="8" t="s">
        <v>521</v>
      </c>
    </row>
    <row r="724" spans="1:2" x14ac:dyDescent="0.3">
      <c r="A724" t="s">
        <v>466</v>
      </c>
      <c r="B724" s="8" t="s">
        <v>522</v>
      </c>
    </row>
    <row r="725" spans="1:2" x14ac:dyDescent="0.3">
      <c r="A725" t="s">
        <v>466</v>
      </c>
      <c r="B725" s="8" t="s">
        <v>523</v>
      </c>
    </row>
    <row r="726" spans="1:2" x14ac:dyDescent="0.3">
      <c r="A726" t="s">
        <v>466</v>
      </c>
      <c r="B726" s="8" t="s">
        <v>524</v>
      </c>
    </row>
    <row r="727" spans="1:2" x14ac:dyDescent="0.3">
      <c r="A727" t="s">
        <v>466</v>
      </c>
      <c r="B727" s="8" t="s">
        <v>525</v>
      </c>
    </row>
    <row r="728" spans="1:2" x14ac:dyDescent="0.3">
      <c r="A728" t="s">
        <v>466</v>
      </c>
      <c r="B728" s="8" t="s">
        <v>526</v>
      </c>
    </row>
    <row r="729" spans="1:2" x14ac:dyDescent="0.3">
      <c r="A729" t="s">
        <v>466</v>
      </c>
      <c r="B729" s="8" t="s">
        <v>527</v>
      </c>
    </row>
    <row r="730" spans="1:2" x14ac:dyDescent="0.3">
      <c r="A730" t="s">
        <v>466</v>
      </c>
      <c r="B730" s="8" t="s">
        <v>528</v>
      </c>
    </row>
    <row r="731" spans="1:2" x14ac:dyDescent="0.3">
      <c r="A731" t="s">
        <v>466</v>
      </c>
      <c r="B731" s="8" t="s">
        <v>529</v>
      </c>
    </row>
    <row r="732" spans="1:2" x14ac:dyDescent="0.3">
      <c r="A732" t="s">
        <v>466</v>
      </c>
      <c r="B732" s="8" t="s">
        <v>530</v>
      </c>
    </row>
    <row r="733" spans="1:2" x14ac:dyDescent="0.3">
      <c r="A733" t="s">
        <v>466</v>
      </c>
      <c r="B733" s="8" t="s">
        <v>531</v>
      </c>
    </row>
    <row r="734" spans="1:2" x14ac:dyDescent="0.3">
      <c r="A734" t="s">
        <v>466</v>
      </c>
      <c r="B734" s="8" t="s">
        <v>532</v>
      </c>
    </row>
    <row r="735" spans="1:2" x14ac:dyDescent="0.3">
      <c r="A735" t="s">
        <v>466</v>
      </c>
      <c r="B735" s="8" t="s">
        <v>533</v>
      </c>
    </row>
    <row r="736" spans="1:2" x14ac:dyDescent="0.3">
      <c r="A736" t="s">
        <v>466</v>
      </c>
      <c r="B736" s="8" t="s">
        <v>534</v>
      </c>
    </row>
    <row r="737" spans="1:2" x14ac:dyDescent="0.3">
      <c r="A737" t="s">
        <v>466</v>
      </c>
      <c r="B737" s="8" t="s">
        <v>535</v>
      </c>
    </row>
    <row r="738" spans="1:2" x14ac:dyDescent="0.3">
      <c r="A738" t="s">
        <v>466</v>
      </c>
      <c r="B738" s="8" t="s">
        <v>536</v>
      </c>
    </row>
    <row r="739" spans="1:2" x14ac:dyDescent="0.3">
      <c r="A739" t="s">
        <v>466</v>
      </c>
      <c r="B739" s="8" t="s">
        <v>537</v>
      </c>
    </row>
    <row r="740" spans="1:2" x14ac:dyDescent="0.3">
      <c r="A740" t="s">
        <v>466</v>
      </c>
      <c r="B740" s="8" t="s">
        <v>538</v>
      </c>
    </row>
    <row r="741" spans="1:2" x14ac:dyDescent="0.3">
      <c r="A741" t="s">
        <v>466</v>
      </c>
      <c r="B741" s="8" t="s">
        <v>539</v>
      </c>
    </row>
    <row r="742" spans="1:2" x14ac:dyDescent="0.3">
      <c r="A742" t="s">
        <v>466</v>
      </c>
      <c r="B742" s="8" t="s">
        <v>540</v>
      </c>
    </row>
    <row r="743" spans="1:2" x14ac:dyDescent="0.3">
      <c r="A743" t="s">
        <v>466</v>
      </c>
      <c r="B743" s="8" t="s">
        <v>541</v>
      </c>
    </row>
    <row r="744" spans="1:2" x14ac:dyDescent="0.3">
      <c r="A744" t="s">
        <v>466</v>
      </c>
      <c r="B744" s="8" t="s">
        <v>542</v>
      </c>
    </row>
    <row r="745" spans="1:2" x14ac:dyDescent="0.3">
      <c r="A745" t="s">
        <v>466</v>
      </c>
      <c r="B745" s="8" t="s">
        <v>543</v>
      </c>
    </row>
    <row r="746" spans="1:2" x14ac:dyDescent="0.3">
      <c r="A746" t="s">
        <v>466</v>
      </c>
      <c r="B746" s="8" t="s">
        <v>544</v>
      </c>
    </row>
    <row r="747" spans="1:2" x14ac:dyDescent="0.3">
      <c r="A747" t="s">
        <v>466</v>
      </c>
      <c r="B747" s="8" t="s">
        <v>545</v>
      </c>
    </row>
    <row r="748" spans="1:2" x14ac:dyDescent="0.3">
      <c r="A748" t="s">
        <v>466</v>
      </c>
      <c r="B748" s="8" t="s">
        <v>546</v>
      </c>
    </row>
    <row r="749" spans="1:2" x14ac:dyDescent="0.3">
      <c r="A749" t="s">
        <v>466</v>
      </c>
      <c r="B749" s="8" t="s">
        <v>547</v>
      </c>
    </row>
    <row r="750" spans="1:2" x14ac:dyDescent="0.3">
      <c r="A750" t="s">
        <v>466</v>
      </c>
      <c r="B750" s="8" t="s">
        <v>548</v>
      </c>
    </row>
    <row r="751" spans="1:2" x14ac:dyDescent="0.3">
      <c r="A751" t="s">
        <v>466</v>
      </c>
      <c r="B751" s="8" t="s">
        <v>549</v>
      </c>
    </row>
    <row r="752" spans="1:2" x14ac:dyDescent="0.3">
      <c r="A752" t="s">
        <v>466</v>
      </c>
      <c r="B752" s="8" t="s">
        <v>550</v>
      </c>
    </row>
    <row r="753" spans="1:2" x14ac:dyDescent="0.3">
      <c r="A753" t="s">
        <v>466</v>
      </c>
      <c r="B753" s="8" t="s">
        <v>551</v>
      </c>
    </row>
    <row r="754" spans="1:2" x14ac:dyDescent="0.3">
      <c r="A754" t="s">
        <v>466</v>
      </c>
      <c r="B754" s="8" t="s">
        <v>552</v>
      </c>
    </row>
    <row r="755" spans="1:2" x14ac:dyDescent="0.3">
      <c r="A755" t="s">
        <v>466</v>
      </c>
      <c r="B755" s="8" t="s">
        <v>553</v>
      </c>
    </row>
    <row r="756" spans="1:2" x14ac:dyDescent="0.3">
      <c r="A756" t="s">
        <v>466</v>
      </c>
      <c r="B756" s="8" t="s">
        <v>554</v>
      </c>
    </row>
    <row r="757" spans="1:2" x14ac:dyDescent="0.3">
      <c r="A757" t="s">
        <v>466</v>
      </c>
      <c r="B757" s="8" t="s">
        <v>555</v>
      </c>
    </row>
    <row r="758" spans="1:2" x14ac:dyDescent="0.3">
      <c r="A758" t="s">
        <v>466</v>
      </c>
      <c r="B758" s="8" t="s">
        <v>556</v>
      </c>
    </row>
    <row r="759" spans="1:2" x14ac:dyDescent="0.3">
      <c r="A759" t="s">
        <v>466</v>
      </c>
      <c r="B759" s="8" t="s">
        <v>557</v>
      </c>
    </row>
    <row r="760" spans="1:2" x14ac:dyDescent="0.3">
      <c r="A760" t="s">
        <v>466</v>
      </c>
      <c r="B760" s="8" t="s">
        <v>558</v>
      </c>
    </row>
    <row r="761" spans="1:2" x14ac:dyDescent="0.3">
      <c r="A761" t="s">
        <v>466</v>
      </c>
      <c r="B761" s="8" t="s">
        <v>559</v>
      </c>
    </row>
    <row r="762" spans="1:2" x14ac:dyDescent="0.3">
      <c r="A762" t="s">
        <v>466</v>
      </c>
      <c r="B762" s="8" t="s">
        <v>560</v>
      </c>
    </row>
    <row r="763" spans="1:2" x14ac:dyDescent="0.3">
      <c r="A763" t="s">
        <v>466</v>
      </c>
      <c r="B763" s="8" t="s">
        <v>561</v>
      </c>
    </row>
    <row r="764" spans="1:2" x14ac:dyDescent="0.3">
      <c r="A764" t="s">
        <v>466</v>
      </c>
      <c r="B764" s="8" t="s">
        <v>562</v>
      </c>
    </row>
    <row r="765" spans="1:2" x14ac:dyDescent="0.3">
      <c r="A765" t="s">
        <v>466</v>
      </c>
      <c r="B765" s="8" t="s">
        <v>563</v>
      </c>
    </row>
    <row r="766" spans="1:2" x14ac:dyDescent="0.3">
      <c r="A766" t="s">
        <v>466</v>
      </c>
      <c r="B766" s="8" t="s">
        <v>564</v>
      </c>
    </row>
    <row r="767" spans="1:2" x14ac:dyDescent="0.3">
      <c r="A767" t="s">
        <v>466</v>
      </c>
      <c r="B767" s="8" t="s">
        <v>565</v>
      </c>
    </row>
    <row r="768" spans="1:2" x14ac:dyDescent="0.3">
      <c r="A768" t="s">
        <v>566</v>
      </c>
    </row>
    <row r="769" spans="1:2" x14ac:dyDescent="0.3">
      <c r="A769" t="s">
        <v>566</v>
      </c>
      <c r="B769" s="8" t="s">
        <v>567</v>
      </c>
    </row>
    <row r="770" spans="1:2" x14ac:dyDescent="0.3">
      <c r="A770" t="s">
        <v>566</v>
      </c>
      <c r="B770" s="8" t="s">
        <v>568</v>
      </c>
    </row>
    <row r="771" spans="1:2" x14ac:dyDescent="0.3">
      <c r="A771" t="s">
        <v>566</v>
      </c>
      <c r="B771" s="8" t="s">
        <v>569</v>
      </c>
    </row>
    <row r="772" spans="1:2" x14ac:dyDescent="0.3">
      <c r="A772" t="s">
        <v>566</v>
      </c>
      <c r="B772" s="8" t="s">
        <v>570</v>
      </c>
    </row>
    <row r="773" spans="1:2" x14ac:dyDescent="0.3">
      <c r="A773" t="s">
        <v>566</v>
      </c>
      <c r="B773" s="8" t="s">
        <v>571</v>
      </c>
    </row>
    <row r="774" spans="1:2" x14ac:dyDescent="0.3">
      <c r="A774" t="s">
        <v>566</v>
      </c>
      <c r="B774" s="8" t="s">
        <v>572</v>
      </c>
    </row>
    <row r="775" spans="1:2" x14ac:dyDescent="0.3">
      <c r="A775" t="s">
        <v>566</v>
      </c>
      <c r="B775" s="8" t="s">
        <v>573</v>
      </c>
    </row>
    <row r="776" spans="1:2" x14ac:dyDescent="0.3">
      <c r="A776" t="s">
        <v>566</v>
      </c>
    </row>
    <row r="777" spans="1:2" x14ac:dyDescent="0.3">
      <c r="A777" t="s">
        <v>566</v>
      </c>
      <c r="B777" s="8" t="s">
        <v>574</v>
      </c>
    </row>
    <row r="778" spans="1:2" x14ac:dyDescent="0.3">
      <c r="A778" t="s">
        <v>566</v>
      </c>
      <c r="B778" s="8" t="s">
        <v>575</v>
      </c>
    </row>
    <row r="779" spans="1:2" x14ac:dyDescent="0.3">
      <c r="A779" t="s">
        <v>566</v>
      </c>
      <c r="B779" s="8" t="s">
        <v>576</v>
      </c>
    </row>
    <row r="780" spans="1:2" x14ac:dyDescent="0.3">
      <c r="A780" t="s">
        <v>566</v>
      </c>
      <c r="B780" s="8" t="s">
        <v>577</v>
      </c>
    </row>
    <row r="781" spans="1:2" x14ac:dyDescent="0.3">
      <c r="A781" t="s">
        <v>566</v>
      </c>
      <c r="B781" s="8" t="s">
        <v>578</v>
      </c>
    </row>
    <row r="782" spans="1:2" x14ac:dyDescent="0.3">
      <c r="A782" t="s">
        <v>566</v>
      </c>
      <c r="B782" s="8" t="s">
        <v>579</v>
      </c>
    </row>
    <row r="783" spans="1:2" x14ac:dyDescent="0.3">
      <c r="A783" t="s">
        <v>566</v>
      </c>
      <c r="B783" s="8" t="s">
        <v>580</v>
      </c>
    </row>
    <row r="784" spans="1:2" x14ac:dyDescent="0.3">
      <c r="A784" t="s">
        <v>566</v>
      </c>
      <c r="B784" s="8" t="s">
        <v>573</v>
      </c>
    </row>
    <row r="785" spans="1:2" x14ac:dyDescent="0.3">
      <c r="A785" t="s">
        <v>566</v>
      </c>
    </row>
    <row r="786" spans="1:2" x14ac:dyDescent="0.3">
      <c r="A786" t="s">
        <v>566</v>
      </c>
      <c r="B786" s="8" t="s">
        <v>581</v>
      </c>
    </row>
    <row r="787" spans="1:2" x14ac:dyDescent="0.3">
      <c r="A787" t="s">
        <v>566</v>
      </c>
      <c r="B787" s="8" t="s">
        <v>582</v>
      </c>
    </row>
    <row r="788" spans="1:2" x14ac:dyDescent="0.3">
      <c r="A788" t="s">
        <v>566</v>
      </c>
      <c r="B788" s="8" t="s">
        <v>583</v>
      </c>
    </row>
    <row r="789" spans="1:2" x14ac:dyDescent="0.3">
      <c r="A789" t="s">
        <v>566</v>
      </c>
      <c r="B789" s="8" t="s">
        <v>584</v>
      </c>
    </row>
    <row r="790" spans="1:2" x14ac:dyDescent="0.3">
      <c r="A790" t="s">
        <v>566</v>
      </c>
      <c r="B790" s="8" t="s">
        <v>585</v>
      </c>
    </row>
    <row r="791" spans="1:2" x14ac:dyDescent="0.3">
      <c r="A791" t="s">
        <v>566</v>
      </c>
      <c r="B791" s="8" t="s">
        <v>571</v>
      </c>
    </row>
    <row r="792" spans="1:2" x14ac:dyDescent="0.3">
      <c r="A792" t="s">
        <v>566</v>
      </c>
      <c r="B792" s="8" t="s">
        <v>586</v>
      </c>
    </row>
    <row r="793" spans="1:2" x14ac:dyDescent="0.3">
      <c r="A793" t="s">
        <v>566</v>
      </c>
      <c r="B793" s="8" t="s">
        <v>573</v>
      </c>
    </row>
    <row r="794" spans="1:2" x14ac:dyDescent="0.3">
      <c r="A794" t="s">
        <v>566</v>
      </c>
    </row>
    <row r="795" spans="1:2" x14ac:dyDescent="0.3">
      <c r="A795" t="s">
        <v>566</v>
      </c>
      <c r="B795" s="8" t="s">
        <v>587</v>
      </c>
    </row>
    <row r="796" spans="1:2" x14ac:dyDescent="0.3">
      <c r="A796" t="s">
        <v>566</v>
      </c>
      <c r="B796" s="8" t="s">
        <v>588</v>
      </c>
    </row>
    <row r="797" spans="1:2" x14ac:dyDescent="0.3">
      <c r="A797" t="s">
        <v>566</v>
      </c>
      <c r="B797" s="8" t="s">
        <v>589</v>
      </c>
    </row>
    <row r="798" spans="1:2" x14ac:dyDescent="0.3">
      <c r="A798" t="s">
        <v>566</v>
      </c>
      <c r="B798" s="8" t="s">
        <v>570</v>
      </c>
    </row>
    <row r="799" spans="1:2" x14ac:dyDescent="0.3">
      <c r="A799" t="s">
        <v>566</v>
      </c>
      <c r="B799" s="8" t="s">
        <v>571</v>
      </c>
    </row>
    <row r="800" spans="1:2" x14ac:dyDescent="0.3">
      <c r="A800" t="s">
        <v>566</v>
      </c>
      <c r="B800" s="8" t="s">
        <v>572</v>
      </c>
    </row>
    <row r="801" spans="1:2" x14ac:dyDescent="0.3">
      <c r="A801" t="s">
        <v>566</v>
      </c>
      <c r="B801" s="8" t="s">
        <v>573</v>
      </c>
    </row>
    <row r="802" spans="1:2" x14ac:dyDescent="0.3">
      <c r="A802" t="s">
        <v>566</v>
      </c>
    </row>
    <row r="803" spans="1:2" x14ac:dyDescent="0.3">
      <c r="A803" t="s">
        <v>590</v>
      </c>
    </row>
    <row r="804" spans="1:2" x14ac:dyDescent="0.3">
      <c r="A804" t="s">
        <v>590</v>
      </c>
      <c r="B804" s="8" t="s">
        <v>591</v>
      </c>
    </row>
    <row r="805" spans="1:2" x14ac:dyDescent="0.3">
      <c r="A805" t="s">
        <v>590</v>
      </c>
      <c r="B805" s="8" t="s">
        <v>592</v>
      </c>
    </row>
    <row r="806" spans="1:2" x14ac:dyDescent="0.3">
      <c r="A806" t="s">
        <v>590</v>
      </c>
      <c r="B806" s="8" t="s">
        <v>593</v>
      </c>
    </row>
    <row r="807" spans="1:2" x14ac:dyDescent="0.3">
      <c r="A807" t="s">
        <v>590</v>
      </c>
      <c r="B807" s="8" t="s">
        <v>594</v>
      </c>
    </row>
    <row r="808" spans="1:2" x14ac:dyDescent="0.3">
      <c r="A808" t="s">
        <v>590</v>
      </c>
      <c r="B808" s="8" t="s">
        <v>595</v>
      </c>
    </row>
    <row r="809" spans="1:2" x14ac:dyDescent="0.3">
      <c r="A809" t="s">
        <v>590</v>
      </c>
      <c r="B809" s="8" t="s">
        <v>596</v>
      </c>
    </row>
    <row r="810" spans="1:2" x14ac:dyDescent="0.3">
      <c r="A810" t="s">
        <v>590</v>
      </c>
      <c r="B810" s="8" t="s">
        <v>597</v>
      </c>
    </row>
    <row r="811" spans="1:2" x14ac:dyDescent="0.3">
      <c r="A811" t="s">
        <v>598</v>
      </c>
    </row>
    <row r="812" spans="1:2" x14ac:dyDescent="0.3">
      <c r="A812" t="s">
        <v>598</v>
      </c>
      <c r="B812" s="8" t="s">
        <v>599</v>
      </c>
    </row>
    <row r="813" spans="1:2" x14ac:dyDescent="0.3">
      <c r="A813" t="s">
        <v>598</v>
      </c>
      <c r="B813" s="8" t="s">
        <v>600</v>
      </c>
    </row>
    <row r="814" spans="1:2" x14ac:dyDescent="0.3">
      <c r="A814" t="s">
        <v>598</v>
      </c>
      <c r="B814" s="8" t="s">
        <v>601</v>
      </c>
    </row>
    <row r="815" spans="1:2" x14ac:dyDescent="0.3">
      <c r="A815" t="s">
        <v>598</v>
      </c>
      <c r="B815" s="8" t="s">
        <v>602</v>
      </c>
    </row>
    <row r="816" spans="1:2" x14ac:dyDescent="0.3">
      <c r="A816" t="s">
        <v>598</v>
      </c>
      <c r="B816" s="8" t="s">
        <v>603</v>
      </c>
    </row>
    <row r="817" spans="1:2" x14ac:dyDescent="0.3">
      <c r="A817" t="s">
        <v>598</v>
      </c>
      <c r="B817" s="8" t="s">
        <v>604</v>
      </c>
    </row>
    <row r="818" spans="1:2" x14ac:dyDescent="0.3">
      <c r="A818" t="s">
        <v>598</v>
      </c>
      <c r="B818" s="8" t="s">
        <v>605</v>
      </c>
    </row>
    <row r="819" spans="1:2" x14ac:dyDescent="0.3">
      <c r="A819" t="s">
        <v>598</v>
      </c>
      <c r="B819" s="8" t="s">
        <v>606</v>
      </c>
    </row>
    <row r="820" spans="1:2" x14ac:dyDescent="0.3">
      <c r="A820" t="s">
        <v>598</v>
      </c>
      <c r="B820" s="8" t="s">
        <v>607</v>
      </c>
    </row>
    <row r="821" spans="1:2" x14ac:dyDescent="0.3">
      <c r="A821" t="s">
        <v>598</v>
      </c>
      <c r="B821" s="8" t="s">
        <v>608</v>
      </c>
    </row>
    <row r="822" spans="1:2" x14ac:dyDescent="0.3">
      <c r="A822" t="s">
        <v>598</v>
      </c>
      <c r="B822" s="8" t="s">
        <v>609</v>
      </c>
    </row>
    <row r="823" spans="1:2" x14ac:dyDescent="0.3">
      <c r="A823" t="s">
        <v>598</v>
      </c>
      <c r="B823" s="8" t="s">
        <v>610</v>
      </c>
    </row>
    <row r="824" spans="1:2" x14ac:dyDescent="0.3">
      <c r="A824" t="s">
        <v>598</v>
      </c>
      <c r="B824" s="8" t="s">
        <v>611</v>
      </c>
    </row>
    <row r="825" spans="1:2" x14ac:dyDescent="0.3">
      <c r="A825" t="s">
        <v>598</v>
      </c>
      <c r="B825" s="8" t="s">
        <v>612</v>
      </c>
    </row>
    <row r="826" spans="1:2" x14ac:dyDescent="0.3">
      <c r="A826" t="s">
        <v>598</v>
      </c>
      <c r="B826" s="8" t="s">
        <v>613</v>
      </c>
    </row>
    <row r="827" spans="1:2" x14ac:dyDescent="0.3">
      <c r="A827" t="s">
        <v>598</v>
      </c>
      <c r="B827" s="8" t="s">
        <v>614</v>
      </c>
    </row>
    <row r="828" spans="1:2" x14ac:dyDescent="0.3">
      <c r="A828" t="s">
        <v>598</v>
      </c>
      <c r="B828" s="8" t="s">
        <v>615</v>
      </c>
    </row>
    <row r="829" spans="1:2" x14ac:dyDescent="0.3">
      <c r="A829" t="s">
        <v>598</v>
      </c>
      <c r="B829" s="8" t="s">
        <v>616</v>
      </c>
    </row>
    <row r="830" spans="1:2" x14ac:dyDescent="0.3">
      <c r="A830" t="s">
        <v>598</v>
      </c>
      <c r="B830" s="8" t="s">
        <v>617</v>
      </c>
    </row>
    <row r="831" spans="1:2" x14ac:dyDescent="0.3">
      <c r="A831" t="s">
        <v>598</v>
      </c>
      <c r="B831" s="8" t="s">
        <v>618</v>
      </c>
    </row>
    <row r="832" spans="1:2" x14ac:dyDescent="0.3">
      <c r="A832" t="s">
        <v>598</v>
      </c>
      <c r="B832" s="8" t="s">
        <v>619</v>
      </c>
    </row>
    <row r="833" spans="1:2" x14ac:dyDescent="0.3">
      <c r="A833" t="s">
        <v>598</v>
      </c>
      <c r="B833" s="8" t="s">
        <v>620</v>
      </c>
    </row>
    <row r="834" spans="1:2" x14ac:dyDescent="0.3">
      <c r="A834" t="s">
        <v>598</v>
      </c>
      <c r="B834" s="8" t="s">
        <v>621</v>
      </c>
    </row>
    <row r="835" spans="1:2" x14ac:dyDescent="0.3">
      <c r="A835" t="s">
        <v>598</v>
      </c>
      <c r="B835" s="8" t="s">
        <v>622</v>
      </c>
    </row>
    <row r="836" spans="1:2" x14ac:dyDescent="0.3">
      <c r="A836" t="s">
        <v>598</v>
      </c>
      <c r="B836" s="8" t="s">
        <v>623</v>
      </c>
    </row>
    <row r="837" spans="1:2" x14ac:dyDescent="0.3">
      <c r="A837" t="s">
        <v>598</v>
      </c>
      <c r="B837" s="8" t="s">
        <v>624</v>
      </c>
    </row>
    <row r="838" spans="1:2" x14ac:dyDescent="0.3">
      <c r="A838" t="s">
        <v>598</v>
      </c>
      <c r="B838" s="8" t="s">
        <v>625</v>
      </c>
    </row>
    <row r="839" spans="1:2" x14ac:dyDescent="0.3">
      <c r="A839" t="s">
        <v>598</v>
      </c>
      <c r="B839" s="8" t="s">
        <v>626</v>
      </c>
    </row>
    <row r="840" spans="1:2" x14ac:dyDescent="0.3">
      <c r="A840" t="s">
        <v>598</v>
      </c>
      <c r="B840" s="8" t="s">
        <v>627</v>
      </c>
    </row>
    <row r="841" spans="1:2" x14ac:dyDescent="0.3">
      <c r="A841" t="s">
        <v>598</v>
      </c>
      <c r="B841" s="8" t="s">
        <v>628</v>
      </c>
    </row>
    <row r="842" spans="1:2" x14ac:dyDescent="0.3">
      <c r="A842" t="s">
        <v>598</v>
      </c>
      <c r="B842" s="8" t="s">
        <v>629</v>
      </c>
    </row>
    <row r="843" spans="1:2" x14ac:dyDescent="0.3">
      <c r="A843" t="s">
        <v>598</v>
      </c>
      <c r="B843" s="8" t="s">
        <v>630</v>
      </c>
    </row>
    <row r="844" spans="1:2" x14ac:dyDescent="0.3">
      <c r="A844" t="s">
        <v>598</v>
      </c>
      <c r="B844" s="8" t="s">
        <v>631</v>
      </c>
    </row>
    <row r="845" spans="1:2" x14ac:dyDescent="0.3">
      <c r="A845" t="s">
        <v>598</v>
      </c>
      <c r="B845" s="8" t="s">
        <v>632</v>
      </c>
    </row>
    <row r="846" spans="1:2" x14ac:dyDescent="0.3">
      <c r="A846" t="s">
        <v>598</v>
      </c>
      <c r="B846" s="8" t="s">
        <v>633</v>
      </c>
    </row>
    <row r="847" spans="1:2" x14ac:dyDescent="0.3">
      <c r="A847" t="s">
        <v>598</v>
      </c>
      <c r="B847" s="8" t="s">
        <v>634</v>
      </c>
    </row>
    <row r="848" spans="1:2" x14ac:dyDescent="0.3">
      <c r="A848" t="s">
        <v>598</v>
      </c>
      <c r="B848" s="8" t="s">
        <v>635</v>
      </c>
    </row>
    <row r="849" spans="1:2" x14ac:dyDescent="0.3">
      <c r="A849" t="s">
        <v>598</v>
      </c>
      <c r="B849" s="8" t="s">
        <v>636</v>
      </c>
    </row>
    <row r="850" spans="1:2" x14ac:dyDescent="0.3">
      <c r="A850" t="s">
        <v>637</v>
      </c>
    </row>
    <row r="851" spans="1:2" x14ac:dyDescent="0.3">
      <c r="A851" t="s">
        <v>637</v>
      </c>
      <c r="B851" s="8" t="s">
        <v>638</v>
      </c>
    </row>
    <row r="852" spans="1:2" x14ac:dyDescent="0.3">
      <c r="A852" t="s">
        <v>637</v>
      </c>
      <c r="B852" s="8" t="s">
        <v>639</v>
      </c>
    </row>
    <row r="853" spans="1:2" x14ac:dyDescent="0.3">
      <c r="A853" t="s">
        <v>640</v>
      </c>
    </row>
    <row r="854" spans="1:2" x14ac:dyDescent="0.3">
      <c r="A854" t="s">
        <v>640</v>
      </c>
      <c r="B854" s="8" t="s">
        <v>641</v>
      </c>
    </row>
    <row r="855" spans="1:2" x14ac:dyDescent="0.3">
      <c r="A855" t="s">
        <v>640</v>
      </c>
      <c r="B855" s="8" t="s">
        <v>642</v>
      </c>
    </row>
    <row r="856" spans="1:2" x14ac:dyDescent="0.3">
      <c r="A856" t="s">
        <v>640</v>
      </c>
      <c r="B856" s="8" t="s">
        <v>643</v>
      </c>
    </row>
    <row r="857" spans="1:2" x14ac:dyDescent="0.3">
      <c r="A857" t="s">
        <v>640</v>
      </c>
      <c r="B857" s="8" t="s">
        <v>644</v>
      </c>
    </row>
    <row r="858" spans="1:2" x14ac:dyDescent="0.3">
      <c r="A858" t="s">
        <v>640</v>
      </c>
      <c r="B858" s="8" t="s">
        <v>645</v>
      </c>
    </row>
    <row r="859" spans="1:2" x14ac:dyDescent="0.3">
      <c r="A859" t="s">
        <v>640</v>
      </c>
      <c r="B859" s="8" t="s">
        <v>646</v>
      </c>
    </row>
    <row r="860" spans="1:2" x14ac:dyDescent="0.3">
      <c r="A860" t="s">
        <v>647</v>
      </c>
    </row>
    <row r="861" spans="1:2" x14ac:dyDescent="0.3">
      <c r="A861" t="s">
        <v>647</v>
      </c>
      <c r="B861" s="8" t="s">
        <v>648</v>
      </c>
    </row>
    <row r="862" spans="1:2" x14ac:dyDescent="0.3">
      <c r="A862" t="s">
        <v>649</v>
      </c>
    </row>
    <row r="863" spans="1:2" x14ac:dyDescent="0.3">
      <c r="A863" t="s">
        <v>649</v>
      </c>
      <c r="B863" s="8">
        <v>4096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9E40C-AC2F-4B1D-AD30-5B7EA2722D7C}">
  <dimension ref="A1:D18"/>
  <sheetViews>
    <sheetView workbookViewId="0">
      <pane xSplit="1" ySplit="1" topLeftCell="B13" activePane="bottomRight" state="frozen"/>
      <selection pane="topRight" activeCell="B1" sqref="B1"/>
      <selection pane="bottomLeft" activeCell="A2" sqref="A2"/>
      <selection pane="bottomRight"/>
    </sheetView>
  </sheetViews>
  <sheetFormatPr defaultRowHeight="14.4" x14ac:dyDescent="0.3"/>
  <cols>
    <col min="2" max="3" width="12.77734375" customWidth="1"/>
  </cols>
  <sheetData>
    <row r="1" spans="1:4" x14ac:dyDescent="0.3">
      <c r="A1" t="s">
        <v>810</v>
      </c>
      <c r="B1" t="s">
        <v>811</v>
      </c>
      <c r="C1" t="s">
        <v>812</v>
      </c>
      <c r="D1" t="s">
        <v>813</v>
      </c>
    </row>
    <row r="2" spans="1:4" x14ac:dyDescent="0.3">
      <c r="A2" s="1">
        <v>44980.701215277775</v>
      </c>
      <c r="B2">
        <v>0</v>
      </c>
      <c r="C2">
        <v>0</v>
      </c>
      <c r="D2">
        <v>0</v>
      </c>
    </row>
    <row r="3" spans="1:4" x14ac:dyDescent="0.3">
      <c r="A3" s="1">
        <v>44980.701226851852</v>
      </c>
      <c r="B3">
        <v>0</v>
      </c>
      <c r="C3">
        <v>247.4</v>
      </c>
      <c r="D3">
        <v>55.8</v>
      </c>
    </row>
    <row r="4" spans="1:4" x14ac:dyDescent="0.3">
      <c r="A4" s="1">
        <v>44980.701238425929</v>
      </c>
      <c r="B4">
        <v>0</v>
      </c>
      <c r="C4">
        <v>1598</v>
      </c>
      <c r="D4">
        <v>399.6</v>
      </c>
    </row>
    <row r="5" spans="1:4" x14ac:dyDescent="0.3">
      <c r="A5" s="1">
        <v>44980.701249999998</v>
      </c>
      <c r="B5">
        <v>0</v>
      </c>
      <c r="C5">
        <v>0</v>
      </c>
      <c r="D5">
        <v>0</v>
      </c>
    </row>
    <row r="6" spans="1:4" x14ac:dyDescent="0.3">
      <c r="A6" s="1">
        <v>44980.701261574075</v>
      </c>
      <c r="B6">
        <v>0</v>
      </c>
      <c r="C6">
        <v>415.6</v>
      </c>
      <c r="D6">
        <v>4</v>
      </c>
    </row>
    <row r="7" spans="1:4" x14ac:dyDescent="0.3">
      <c r="A7" s="1">
        <v>44980.701273148145</v>
      </c>
      <c r="B7">
        <v>0</v>
      </c>
      <c r="C7">
        <v>0</v>
      </c>
      <c r="D7">
        <v>0</v>
      </c>
    </row>
    <row r="8" spans="1:4" x14ac:dyDescent="0.3">
      <c r="A8" s="1">
        <v>44980.701284722221</v>
      </c>
      <c r="B8">
        <v>0</v>
      </c>
      <c r="C8">
        <v>0</v>
      </c>
      <c r="D8">
        <v>0</v>
      </c>
    </row>
    <row r="9" spans="1:4" x14ac:dyDescent="0.3">
      <c r="A9" s="1">
        <v>44980.701296296298</v>
      </c>
      <c r="B9">
        <v>0</v>
      </c>
      <c r="C9">
        <v>0</v>
      </c>
      <c r="D9">
        <v>0</v>
      </c>
    </row>
    <row r="10" spans="1:4" x14ac:dyDescent="0.3">
      <c r="A10" s="1">
        <v>44980.701307870368</v>
      </c>
      <c r="B10">
        <v>0</v>
      </c>
      <c r="C10">
        <v>0</v>
      </c>
      <c r="D10">
        <v>0</v>
      </c>
    </row>
    <row r="11" spans="1:4" x14ac:dyDescent="0.3">
      <c r="A11" s="1">
        <v>44980.701319444444</v>
      </c>
      <c r="B11">
        <v>0</v>
      </c>
      <c r="C11">
        <v>0</v>
      </c>
      <c r="D11">
        <v>0</v>
      </c>
    </row>
    <row r="13" spans="1:4" x14ac:dyDescent="0.3">
      <c r="A13" t="s">
        <v>804</v>
      </c>
      <c r="B13" s="9">
        <f>AVERAGE(B2:B11)</f>
        <v>0</v>
      </c>
      <c r="C13" s="9">
        <f t="shared" ref="C13:D13" si="0">AVERAGE(C2:C11)</f>
        <v>226.1</v>
      </c>
      <c r="D13" s="9">
        <f t="shared" si="0"/>
        <v>45.940000000000005</v>
      </c>
    </row>
    <row r="14" spans="1:4" x14ac:dyDescent="0.3">
      <c r="A14" t="s">
        <v>805</v>
      </c>
      <c r="B14" s="9">
        <f>IF(B13=0,0,MAX(SUMPRODUCT(B2:B11,B2:B11)/SUM(B2:B11)-B13,0))</f>
        <v>0</v>
      </c>
      <c r="C14" s="9">
        <f t="shared" ref="C14:D14" si="1">IF(C13=0,0,MAX(SUMPRODUCT(C2:C11,C2:C11)/SUM(C2:C11)-C13,0))</f>
        <v>1006.7766563467491</v>
      </c>
      <c r="D14" s="9">
        <f t="shared" si="1"/>
        <v>308.45660426643457</v>
      </c>
    </row>
    <row r="15" spans="1:4" x14ac:dyDescent="0.3">
      <c r="A15" t="s">
        <v>806</v>
      </c>
      <c r="B15" s="9">
        <f>MAX(B2:B11)</f>
        <v>0</v>
      </c>
      <c r="C15" s="9">
        <f t="shared" ref="C15:D15" si="2">MAX(C2:C11)</f>
        <v>1598</v>
      </c>
      <c r="D15" s="9">
        <f t="shared" si="2"/>
        <v>399.6</v>
      </c>
    </row>
    <row r="16" spans="1:4" x14ac:dyDescent="0.3">
      <c r="A16" t="s">
        <v>807</v>
      </c>
      <c r="B16" s="9">
        <f>MIN(B2:B11)</f>
        <v>0</v>
      </c>
      <c r="C16" s="9">
        <f t="shared" ref="C16:D16" si="3">MIN(C2:C11)</f>
        <v>0</v>
      </c>
      <c r="D16" s="9">
        <f t="shared" si="3"/>
        <v>0</v>
      </c>
    </row>
    <row r="17" spans="1:4" x14ac:dyDescent="0.3">
      <c r="A17" t="s">
        <v>808</v>
      </c>
      <c r="B17" s="9">
        <f>B13+ B14</f>
        <v>0</v>
      </c>
      <c r="C17" s="9">
        <f t="shared" ref="C17:D17" si="4">C13+ C14</f>
        <v>1232.8766563467491</v>
      </c>
      <c r="D17" s="9">
        <f t="shared" si="4"/>
        <v>354.39660426643457</v>
      </c>
    </row>
    <row r="18" spans="1:4" x14ac:dyDescent="0.3">
      <c r="B18" s="9"/>
      <c r="C18" s="9"/>
      <c r="D18" s="9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F8430-5B24-4AAF-966A-C3B33AA59A12}">
  <dimension ref="A1:J13"/>
  <sheetViews>
    <sheetView workbookViewId="0">
      <pane xSplit="1" ySplit="1" topLeftCell="B13" activePane="bottomRight" state="frozen"/>
      <selection pane="topRight" activeCell="B1" sqref="B1"/>
      <selection pane="bottomLeft" activeCell="A2" sqref="A2"/>
      <selection pane="bottomRight"/>
    </sheetView>
  </sheetViews>
  <sheetFormatPr defaultRowHeight="14.4" x14ac:dyDescent="0.3"/>
  <sheetData>
    <row r="1" spans="1:10" x14ac:dyDescent="0.3">
      <c r="A1" t="s">
        <v>681</v>
      </c>
      <c r="B1" t="s">
        <v>652</v>
      </c>
      <c r="C1" t="s">
        <v>653</v>
      </c>
      <c r="D1" t="s">
        <v>654</v>
      </c>
      <c r="E1" t="s">
        <v>655</v>
      </c>
      <c r="F1" t="s">
        <v>656</v>
      </c>
      <c r="G1" t="s">
        <v>682</v>
      </c>
      <c r="H1" t="s">
        <v>683</v>
      </c>
      <c r="J1" t="s">
        <v>802</v>
      </c>
    </row>
    <row r="2" spans="1:10" x14ac:dyDescent="0.3">
      <c r="A2" s="1">
        <v>44980.701215277775</v>
      </c>
      <c r="B2">
        <v>2.8</v>
      </c>
      <c r="C2">
        <v>2.5</v>
      </c>
      <c r="D2">
        <v>0</v>
      </c>
      <c r="E2">
        <v>94.6</v>
      </c>
      <c r="F2">
        <v>0</v>
      </c>
      <c r="H2">
        <v>8</v>
      </c>
      <c r="J2">
        <v>5.3</v>
      </c>
    </row>
    <row r="3" spans="1:10" x14ac:dyDescent="0.3">
      <c r="A3" s="1">
        <v>44980.701226851852</v>
      </c>
      <c r="B3">
        <v>0</v>
      </c>
      <c r="C3">
        <v>0</v>
      </c>
      <c r="D3">
        <v>0</v>
      </c>
      <c r="E3">
        <v>100</v>
      </c>
      <c r="F3">
        <v>0</v>
      </c>
      <c r="H3">
        <v>8</v>
      </c>
      <c r="J3">
        <v>0</v>
      </c>
    </row>
    <row r="4" spans="1:10" x14ac:dyDescent="0.3">
      <c r="A4" s="1">
        <v>44980.701238425929</v>
      </c>
      <c r="B4">
        <v>7.1</v>
      </c>
      <c r="C4">
        <v>15.1</v>
      </c>
      <c r="D4">
        <v>0</v>
      </c>
      <c r="E4">
        <v>77.8</v>
      </c>
      <c r="F4">
        <v>0</v>
      </c>
      <c r="H4">
        <v>8</v>
      </c>
      <c r="J4">
        <v>22.2</v>
      </c>
    </row>
    <row r="5" spans="1:10" x14ac:dyDescent="0.3">
      <c r="A5" s="1">
        <v>44980.701249999998</v>
      </c>
      <c r="B5">
        <v>68.8</v>
      </c>
      <c r="C5">
        <v>31.2</v>
      </c>
      <c r="D5">
        <v>0</v>
      </c>
      <c r="E5">
        <v>0</v>
      </c>
      <c r="F5">
        <v>0</v>
      </c>
      <c r="H5">
        <v>8</v>
      </c>
      <c r="J5">
        <v>100</v>
      </c>
    </row>
    <row r="6" spans="1:10" x14ac:dyDescent="0.3">
      <c r="A6" s="1">
        <v>44980.701261574075</v>
      </c>
      <c r="B6">
        <v>74.5</v>
      </c>
      <c r="C6">
        <v>25.4</v>
      </c>
      <c r="D6">
        <v>0</v>
      </c>
      <c r="E6">
        <v>0</v>
      </c>
      <c r="F6">
        <v>0.1</v>
      </c>
      <c r="H6">
        <v>8</v>
      </c>
      <c r="J6">
        <v>99.9</v>
      </c>
    </row>
    <row r="7" spans="1:10" x14ac:dyDescent="0.3">
      <c r="A7" s="1">
        <v>44980.701273148145</v>
      </c>
      <c r="B7">
        <v>78.5</v>
      </c>
      <c r="C7">
        <v>21.5</v>
      </c>
      <c r="D7">
        <v>0</v>
      </c>
      <c r="E7">
        <v>0</v>
      </c>
      <c r="F7">
        <v>0</v>
      </c>
      <c r="H7">
        <v>8</v>
      </c>
      <c r="J7">
        <v>100</v>
      </c>
    </row>
    <row r="8" spans="1:10" x14ac:dyDescent="0.3">
      <c r="A8" s="1">
        <v>44980.701284722221</v>
      </c>
      <c r="B8">
        <v>77.400000000000006</v>
      </c>
      <c r="C8">
        <v>22.6</v>
      </c>
      <c r="D8">
        <v>0</v>
      </c>
      <c r="E8">
        <v>0</v>
      </c>
      <c r="F8">
        <v>0</v>
      </c>
      <c r="H8">
        <v>8</v>
      </c>
      <c r="J8">
        <v>100</v>
      </c>
    </row>
    <row r="9" spans="1:10" x14ac:dyDescent="0.3">
      <c r="A9" s="1">
        <v>44980.701296296298</v>
      </c>
      <c r="B9">
        <v>81.599999999999994</v>
      </c>
      <c r="C9">
        <v>18.399999999999999</v>
      </c>
      <c r="D9">
        <v>0</v>
      </c>
      <c r="E9">
        <v>0</v>
      </c>
      <c r="F9">
        <v>0</v>
      </c>
      <c r="H9">
        <v>8</v>
      </c>
      <c r="J9">
        <v>100</v>
      </c>
    </row>
    <row r="10" spans="1:10" x14ac:dyDescent="0.3">
      <c r="A10" s="1">
        <v>44980.701307870368</v>
      </c>
      <c r="B10">
        <v>84.2</v>
      </c>
      <c r="C10">
        <v>10.8</v>
      </c>
      <c r="D10">
        <v>0</v>
      </c>
      <c r="E10">
        <v>5</v>
      </c>
      <c r="F10">
        <v>0</v>
      </c>
      <c r="H10">
        <v>8</v>
      </c>
      <c r="J10">
        <v>95</v>
      </c>
    </row>
    <row r="11" spans="1:10" x14ac:dyDescent="0.3">
      <c r="A11" s="1">
        <v>44980.701319444444</v>
      </c>
      <c r="B11">
        <v>0.2</v>
      </c>
      <c r="C11">
        <v>0</v>
      </c>
      <c r="D11">
        <v>0</v>
      </c>
      <c r="E11">
        <v>99.8</v>
      </c>
      <c r="F11">
        <v>0</v>
      </c>
      <c r="H11">
        <v>8</v>
      </c>
      <c r="J11">
        <v>0.2</v>
      </c>
    </row>
    <row r="13" spans="1:10" x14ac:dyDescent="0.3">
      <c r="A13" t="s">
        <v>803</v>
      </c>
      <c r="B13">
        <v>47.510000000000005</v>
      </c>
      <c r="C13">
        <v>14.75</v>
      </c>
      <c r="D13">
        <v>0</v>
      </c>
      <c r="E13">
        <v>37.72</v>
      </c>
      <c r="F13">
        <v>0.01</v>
      </c>
      <c r="G13" t="e">
        <v>#DIV/0!</v>
      </c>
      <c r="H13">
        <v>8</v>
      </c>
      <c r="I13" t="e">
        <v>#DIV/0!</v>
      </c>
      <c r="J13">
        <v>62.260000000000005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E6CD7-560C-425D-9849-F3F53C66F2BE}">
  <dimension ref="A1:F9"/>
  <sheetViews>
    <sheetView workbookViewId="0">
      <pane xSplit="1" ySplit="1" topLeftCell="B10" activePane="bottomRight" state="frozen"/>
      <selection pane="topRight" activeCell="B1" sqref="B1"/>
      <selection pane="bottomLeft" activeCell="A2" sqref="A2"/>
      <selection pane="bottomRight"/>
    </sheetView>
  </sheetViews>
  <sheetFormatPr defaultRowHeight="14.4" x14ac:dyDescent="0.3"/>
  <sheetData>
    <row r="1" spans="1:6" x14ac:dyDescent="0.3">
      <c r="A1" t="s">
        <v>843</v>
      </c>
      <c r="B1" t="s">
        <v>652</v>
      </c>
      <c r="C1" t="s">
        <v>653</v>
      </c>
      <c r="D1" t="s">
        <v>654</v>
      </c>
      <c r="E1" t="s">
        <v>655</v>
      </c>
      <c r="F1" t="s">
        <v>656</v>
      </c>
    </row>
    <row r="2" spans="1:6" x14ac:dyDescent="0.3">
      <c r="A2" t="s">
        <v>650</v>
      </c>
      <c r="B2" s="14">
        <v>46.85</v>
      </c>
      <c r="C2" s="14">
        <v>15.73</v>
      </c>
      <c r="D2" s="14">
        <v>0</v>
      </c>
      <c r="E2" s="14">
        <v>37.409999999999997</v>
      </c>
      <c r="F2" s="14">
        <v>0</v>
      </c>
    </row>
    <row r="3" spans="1:6" x14ac:dyDescent="0.3">
      <c r="A3" t="s">
        <v>667</v>
      </c>
      <c r="B3" s="14">
        <v>46.5</v>
      </c>
      <c r="C3" s="14">
        <v>15.060000000000002</v>
      </c>
      <c r="D3" s="14">
        <v>0</v>
      </c>
      <c r="E3" s="14">
        <v>38.44</v>
      </c>
      <c r="F3" s="14">
        <v>0</v>
      </c>
    </row>
    <row r="4" spans="1:6" x14ac:dyDescent="0.3">
      <c r="A4" t="s">
        <v>669</v>
      </c>
      <c r="B4" s="14">
        <v>45.89</v>
      </c>
      <c r="C4" s="14">
        <v>16.399999999999999</v>
      </c>
      <c r="D4" s="14">
        <v>0</v>
      </c>
      <c r="E4" s="14">
        <v>37.72</v>
      </c>
      <c r="F4" s="14">
        <v>0</v>
      </c>
    </row>
    <row r="5" spans="1:6" x14ac:dyDescent="0.3">
      <c r="A5" t="s">
        <v>671</v>
      </c>
      <c r="B5" s="14">
        <v>49.43</v>
      </c>
      <c r="C5" s="14">
        <v>13.76</v>
      </c>
      <c r="D5" s="14">
        <v>0</v>
      </c>
      <c r="E5" s="14">
        <v>36.81</v>
      </c>
      <c r="F5" s="14">
        <v>0</v>
      </c>
    </row>
    <row r="6" spans="1:6" x14ac:dyDescent="0.3">
      <c r="A6" t="s">
        <v>673</v>
      </c>
      <c r="B6" s="14">
        <v>48.32</v>
      </c>
      <c r="C6" s="14">
        <v>13.459999999999999</v>
      </c>
      <c r="D6" s="14">
        <v>0</v>
      </c>
      <c r="E6" s="14">
        <v>38.229999999999997</v>
      </c>
      <c r="F6" s="14">
        <v>0</v>
      </c>
    </row>
    <row r="7" spans="1:6" x14ac:dyDescent="0.3">
      <c r="A7" t="s">
        <v>675</v>
      </c>
      <c r="B7" s="14">
        <v>46.620000000000005</v>
      </c>
      <c r="C7" s="14">
        <v>15.51</v>
      </c>
      <c r="D7" s="14">
        <v>0</v>
      </c>
      <c r="E7" s="14">
        <v>37.89</v>
      </c>
      <c r="F7" s="14">
        <v>0</v>
      </c>
    </row>
    <row r="8" spans="1:6" x14ac:dyDescent="0.3">
      <c r="A8" t="s">
        <v>677</v>
      </c>
      <c r="B8" s="14">
        <v>48.89</v>
      </c>
      <c r="C8" s="14">
        <v>12.919999999999998</v>
      </c>
      <c r="D8" s="14">
        <v>0</v>
      </c>
      <c r="E8" s="14">
        <v>38.18</v>
      </c>
      <c r="F8" s="14">
        <v>0</v>
      </c>
    </row>
    <row r="9" spans="1:6" x14ac:dyDescent="0.3">
      <c r="A9" t="s">
        <v>679</v>
      </c>
      <c r="B9" s="14">
        <v>47.6</v>
      </c>
      <c r="C9" s="14">
        <v>15.209999999999999</v>
      </c>
      <c r="D9" s="14">
        <v>0</v>
      </c>
      <c r="E9" s="14">
        <v>37.21</v>
      </c>
      <c r="F9" s="14">
        <v>0</v>
      </c>
    </row>
  </sheetData>
  <sortState xmlns:xlrd2="http://schemas.microsoft.com/office/spreadsheetml/2017/richdata2" ref="A2:F9">
    <sortCondition ref="A1"/>
  </sortState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8BA00-288A-48CA-B2C6-2B8E05052910}">
  <dimension ref="A1:IV18"/>
  <sheetViews>
    <sheetView workbookViewId="0">
      <pane xSplit="1" ySplit="1" topLeftCell="B13" activePane="bottomRight" state="frozen"/>
      <selection pane="topRight" activeCell="B1" sqref="B1"/>
      <selection pane="bottomLeft" activeCell="A2" sqref="A2"/>
      <selection pane="bottomRight"/>
    </sheetView>
  </sheetViews>
  <sheetFormatPr defaultRowHeight="14.4" x14ac:dyDescent="0.3"/>
  <cols>
    <col min="2" max="18" width="7.77734375" customWidth="1"/>
  </cols>
  <sheetData>
    <row r="1" spans="1:256" x14ac:dyDescent="0.3">
      <c r="A1" t="s">
        <v>684</v>
      </c>
      <c r="B1" t="s">
        <v>693</v>
      </c>
      <c r="C1" t="s">
        <v>694</v>
      </c>
      <c r="D1" t="s">
        <v>685</v>
      </c>
      <c r="E1" t="s">
        <v>686</v>
      </c>
      <c r="F1" t="s">
        <v>687</v>
      </c>
      <c r="G1" t="s">
        <v>688</v>
      </c>
      <c r="H1" t="s">
        <v>689</v>
      </c>
      <c r="I1" t="s">
        <v>690</v>
      </c>
      <c r="J1" t="s">
        <v>691</v>
      </c>
      <c r="K1" t="s">
        <v>692</v>
      </c>
      <c r="L1" t="s">
        <v>695</v>
      </c>
      <c r="M1" t="s">
        <v>696</v>
      </c>
      <c r="N1" t="s">
        <v>697</v>
      </c>
      <c r="O1" t="s">
        <v>698</v>
      </c>
      <c r="P1" t="s">
        <v>699</v>
      </c>
      <c r="Q1" t="s">
        <v>700</v>
      </c>
      <c r="R1" t="s">
        <v>701</v>
      </c>
      <c r="IV1" t="s">
        <v>809</v>
      </c>
    </row>
    <row r="2" spans="1:256" x14ac:dyDescent="0.3">
      <c r="A2" s="1">
        <v>44980.701215277775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IV2">
        <v>0</v>
      </c>
    </row>
    <row r="3" spans="1:256" x14ac:dyDescent="0.3">
      <c r="A3" s="1">
        <v>44980.701226851852</v>
      </c>
      <c r="B3">
        <v>4.4000000000000004</v>
      </c>
      <c r="C3">
        <v>4.4000000000000004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IV3">
        <v>8.8000000000000007</v>
      </c>
    </row>
    <row r="4" spans="1:256" x14ac:dyDescent="0.3">
      <c r="A4" s="1">
        <v>44980.701238425929</v>
      </c>
      <c r="B4">
        <v>4</v>
      </c>
      <c r="C4">
        <v>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IV4">
        <v>8</v>
      </c>
    </row>
    <row r="5" spans="1:256" x14ac:dyDescent="0.3">
      <c r="A5" s="1">
        <v>44980.701249999998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IV5">
        <v>0</v>
      </c>
    </row>
    <row r="6" spans="1:256" x14ac:dyDescent="0.3">
      <c r="A6" s="1">
        <v>44980.701261574075</v>
      </c>
      <c r="B6">
        <v>104</v>
      </c>
      <c r="C6">
        <v>104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IV6">
        <v>208</v>
      </c>
    </row>
    <row r="7" spans="1:256" x14ac:dyDescent="0.3">
      <c r="A7" s="1">
        <v>44980.701273148145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IV7">
        <v>0</v>
      </c>
    </row>
    <row r="8" spans="1:256" x14ac:dyDescent="0.3">
      <c r="A8" s="1">
        <v>44980.701284722221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IV8">
        <v>0</v>
      </c>
    </row>
    <row r="9" spans="1:256" x14ac:dyDescent="0.3">
      <c r="A9" s="1">
        <v>44980.701296296298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IV9">
        <v>0</v>
      </c>
    </row>
    <row r="10" spans="1:256" x14ac:dyDescent="0.3">
      <c r="A10" s="1">
        <v>44980.701307870368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IV10">
        <v>0</v>
      </c>
    </row>
    <row r="11" spans="1:256" x14ac:dyDescent="0.3">
      <c r="A11" s="1">
        <v>44980.701319444444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IV11">
        <v>0</v>
      </c>
    </row>
    <row r="13" spans="1:256" x14ac:dyDescent="0.3">
      <c r="A13" t="s">
        <v>804</v>
      </c>
      <c r="B13" s="9">
        <f>AVERAGE(B2:B11)</f>
        <v>11.24</v>
      </c>
      <c r="C13" s="9">
        <f>AVERAGE(C2:C11)</f>
        <v>11.24</v>
      </c>
      <c r="D13" s="9">
        <f>AVERAGE(D2:D11)</f>
        <v>0</v>
      </c>
      <c r="E13" s="9">
        <f>AVERAGE(E2:E11)</f>
        <v>0</v>
      </c>
      <c r="F13" s="9">
        <f>AVERAGE(F2:F11)</f>
        <v>0</v>
      </c>
      <c r="G13" s="9">
        <f>AVERAGE(G2:G11)</f>
        <v>0</v>
      </c>
      <c r="H13" s="9">
        <f>AVERAGE(H2:H11)</f>
        <v>0</v>
      </c>
      <c r="I13" s="9">
        <f>AVERAGE(I2:I11)</f>
        <v>0</v>
      </c>
      <c r="J13" s="9">
        <f>AVERAGE(J2:J11)</f>
        <v>0</v>
      </c>
      <c r="K13" s="9">
        <f>AVERAGE(K2:K11)</f>
        <v>0</v>
      </c>
      <c r="L13" s="9">
        <f>AVERAGE(L2:L11)</f>
        <v>0</v>
      </c>
      <c r="M13" s="9">
        <f>AVERAGE(M2:M11)</f>
        <v>0</v>
      </c>
      <c r="N13" s="9">
        <f>AVERAGE(N2:N11)</f>
        <v>0</v>
      </c>
      <c r="O13" s="9">
        <f>AVERAGE(O2:O11)</f>
        <v>0</v>
      </c>
      <c r="P13" s="9">
        <f>AVERAGE(P2:P11)</f>
        <v>0</v>
      </c>
      <c r="Q13" s="9">
        <f>AVERAGE(Q2:Q11)</f>
        <v>0</v>
      </c>
      <c r="R13" s="9">
        <f>AVERAGE(R2:R11)</f>
        <v>0</v>
      </c>
    </row>
    <row r="14" spans="1:256" x14ac:dyDescent="0.3">
      <c r="A14" t="s">
        <v>805</v>
      </c>
      <c r="B14" s="9">
        <f>IF(B13=0,0,MAX(SUMPRODUCT(B2:B11,B2:B11)/SUM(B2:B11)-B13,0))</f>
        <v>85.302348754448403</v>
      </c>
      <c r="C14" s="9">
        <f>IF(C13=0,0,MAX(SUMPRODUCT(C2:C11,C2:C11)/SUM(C2:C11)-C13,0))</f>
        <v>85.302348754448403</v>
      </c>
      <c r="D14" s="9">
        <f>IF(D13=0,0,MAX(SUMPRODUCT(D2:D11,D2:D11)/SUM(D2:D11)-D13,0))</f>
        <v>0</v>
      </c>
      <c r="E14" s="9">
        <f>IF(E13=0,0,MAX(SUMPRODUCT(E2:E11,E2:E11)/SUM(E2:E11)-E13,0))</f>
        <v>0</v>
      </c>
      <c r="F14" s="9">
        <f>IF(F13=0,0,MAX(SUMPRODUCT(F2:F11,F2:F11)/SUM(F2:F11)-F13,0))</f>
        <v>0</v>
      </c>
      <c r="G14" s="9">
        <f>IF(G13=0,0,MAX(SUMPRODUCT(G2:G11,G2:G11)/SUM(G2:G11)-G13,0))</f>
        <v>0</v>
      </c>
      <c r="H14" s="9">
        <f>IF(H13=0,0,MAX(SUMPRODUCT(H2:H11,H2:H11)/SUM(H2:H11)-H13,0))</f>
        <v>0</v>
      </c>
      <c r="I14" s="9">
        <f>IF(I13=0,0,MAX(SUMPRODUCT(I2:I11,I2:I11)/SUM(I2:I11)-I13,0))</f>
        <v>0</v>
      </c>
      <c r="J14" s="9">
        <f>IF(J13=0,0,MAX(SUMPRODUCT(J2:J11,J2:J11)/SUM(J2:J11)-J13,0))</f>
        <v>0</v>
      </c>
      <c r="K14" s="9">
        <f>IF(K13=0,0,MAX(SUMPRODUCT(K2:K11,K2:K11)/SUM(K2:K11)-K13,0))</f>
        <v>0</v>
      </c>
      <c r="L14" s="9">
        <f>IF(L13=0,0,MAX(SUMPRODUCT(L2:L11,L2:L11)/SUM(L2:L11)-L13,0))</f>
        <v>0</v>
      </c>
      <c r="M14" s="9">
        <f>IF(M13=0,0,MAX(SUMPRODUCT(M2:M11,M2:M11)/SUM(M2:M11)-M13,0))</f>
        <v>0</v>
      </c>
      <c r="N14" s="9">
        <f>IF(N13=0,0,MAX(SUMPRODUCT(N2:N11,N2:N11)/SUM(N2:N11)-N13,0))</f>
        <v>0</v>
      </c>
      <c r="O14" s="9">
        <f>IF(O13=0,0,MAX(SUMPRODUCT(O2:O11,O2:O11)/SUM(O2:O11)-O13,0))</f>
        <v>0</v>
      </c>
      <c r="P14" s="9">
        <f>IF(P13=0,0,MAX(SUMPRODUCT(P2:P11,P2:P11)/SUM(P2:P11)-P13,0))</f>
        <v>0</v>
      </c>
      <c r="Q14" s="9">
        <f>IF(Q13=0,0,MAX(SUMPRODUCT(Q2:Q11,Q2:Q11)/SUM(Q2:Q11)-Q13,0))</f>
        <v>0</v>
      </c>
      <c r="R14" s="9">
        <f>IF(R13=0,0,MAX(SUMPRODUCT(R2:R11,R2:R11)/SUM(R2:R11)-R13,0))</f>
        <v>0</v>
      </c>
    </row>
    <row r="15" spans="1:256" x14ac:dyDescent="0.3">
      <c r="A15" t="s">
        <v>806</v>
      </c>
      <c r="B15" s="9">
        <f>MAX(B2:B11)</f>
        <v>104</v>
      </c>
      <c r="C15" s="9">
        <f>MAX(C2:C11)</f>
        <v>104</v>
      </c>
      <c r="D15" s="9">
        <f>MAX(D2:D11)</f>
        <v>0</v>
      </c>
      <c r="E15" s="9">
        <f>MAX(E2:E11)</f>
        <v>0</v>
      </c>
      <c r="F15" s="9">
        <f>MAX(F2:F11)</f>
        <v>0</v>
      </c>
      <c r="G15" s="9">
        <f>MAX(G2:G11)</f>
        <v>0</v>
      </c>
      <c r="H15" s="9">
        <f>MAX(H2:H11)</f>
        <v>0</v>
      </c>
      <c r="I15" s="9">
        <f>MAX(I2:I11)</f>
        <v>0</v>
      </c>
      <c r="J15" s="9">
        <f>MAX(J2:J11)</f>
        <v>0</v>
      </c>
      <c r="K15" s="9">
        <f>MAX(K2:K11)</f>
        <v>0</v>
      </c>
      <c r="L15" s="9">
        <f>MAX(L2:L11)</f>
        <v>0</v>
      </c>
      <c r="M15" s="9">
        <f>MAX(M2:M11)</f>
        <v>0</v>
      </c>
      <c r="N15" s="9">
        <f>MAX(N2:N11)</f>
        <v>0</v>
      </c>
      <c r="O15" s="9">
        <f>MAX(O2:O11)</f>
        <v>0</v>
      </c>
      <c r="P15" s="9">
        <f>MAX(P2:P11)</f>
        <v>0</v>
      </c>
      <c r="Q15" s="9">
        <f>MAX(Q2:Q11)</f>
        <v>0</v>
      </c>
      <c r="R15" s="9">
        <f>MAX(R2:R11)</f>
        <v>0</v>
      </c>
    </row>
    <row r="16" spans="1:256" x14ac:dyDescent="0.3">
      <c r="A16" t="s">
        <v>807</v>
      </c>
      <c r="B16" s="9">
        <f>MIN(B2:B11)</f>
        <v>0</v>
      </c>
      <c r="C16" s="9">
        <f>MIN(C2:C11)</f>
        <v>0</v>
      </c>
      <c r="D16" s="9">
        <f>MIN(D2:D11)</f>
        <v>0</v>
      </c>
      <c r="E16" s="9">
        <f>MIN(E2:E11)</f>
        <v>0</v>
      </c>
      <c r="F16" s="9">
        <f>MIN(F2:F11)</f>
        <v>0</v>
      </c>
      <c r="G16" s="9">
        <f>MIN(G2:G11)</f>
        <v>0</v>
      </c>
      <c r="H16" s="9">
        <f>MIN(H2:H11)</f>
        <v>0</v>
      </c>
      <c r="I16" s="9">
        <f>MIN(I2:I11)</f>
        <v>0</v>
      </c>
      <c r="J16" s="9">
        <f>MIN(J2:J11)</f>
        <v>0</v>
      </c>
      <c r="K16" s="9">
        <f>MIN(K2:K11)</f>
        <v>0</v>
      </c>
      <c r="L16" s="9">
        <f>MIN(L2:L11)</f>
        <v>0</v>
      </c>
      <c r="M16" s="9">
        <f>MIN(M2:M11)</f>
        <v>0</v>
      </c>
      <c r="N16" s="9">
        <f>MIN(N2:N11)</f>
        <v>0</v>
      </c>
      <c r="O16" s="9">
        <f>MIN(O2:O11)</f>
        <v>0</v>
      </c>
      <c r="P16" s="9">
        <f>MIN(P2:P11)</f>
        <v>0</v>
      </c>
      <c r="Q16" s="9">
        <f>MIN(Q2:Q11)</f>
        <v>0</v>
      </c>
      <c r="R16" s="9">
        <f>MIN(R2:R11)</f>
        <v>0</v>
      </c>
    </row>
    <row r="17" spans="1:18" x14ac:dyDescent="0.3">
      <c r="A17" t="s">
        <v>808</v>
      </c>
      <c r="B17" s="9">
        <f>B13+ B14</f>
        <v>96.542348754448398</v>
      </c>
      <c r="C17" s="9">
        <f>C13+ C14</f>
        <v>96.542348754448398</v>
      </c>
      <c r="D17" s="9">
        <f>D13+ D14</f>
        <v>0</v>
      </c>
      <c r="E17" s="9">
        <f>E13+ E14</f>
        <v>0</v>
      </c>
      <c r="F17" s="9">
        <f>F13+ F14</f>
        <v>0</v>
      </c>
      <c r="G17" s="9">
        <f>G13+ G14</f>
        <v>0</v>
      </c>
      <c r="H17" s="9">
        <f>H13+ H14</f>
        <v>0</v>
      </c>
      <c r="I17" s="9">
        <f>I13+ I14</f>
        <v>0</v>
      </c>
      <c r="J17" s="9">
        <f>J13+ J14</f>
        <v>0</v>
      </c>
      <c r="K17" s="9">
        <f>K13+ K14</f>
        <v>0</v>
      </c>
      <c r="L17" s="9">
        <f>L13+ L14</f>
        <v>0</v>
      </c>
      <c r="M17" s="9">
        <f>M13+ M14</f>
        <v>0</v>
      </c>
      <c r="N17" s="9">
        <f>N13+ N14</f>
        <v>0</v>
      </c>
      <c r="O17" s="9">
        <f>O13+ O14</f>
        <v>0</v>
      </c>
      <c r="P17" s="9">
        <f>P13+ P14</f>
        <v>0</v>
      </c>
      <c r="Q17" s="9">
        <f>Q13+ Q14</f>
        <v>0</v>
      </c>
      <c r="R17" s="9">
        <f>R13+ R14</f>
        <v>0</v>
      </c>
    </row>
    <row r="18" spans="1:18" x14ac:dyDescent="0.3"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</row>
  </sheetData>
  <sortState xmlns:xlrd2="http://schemas.microsoft.com/office/spreadsheetml/2017/richdata2" columnSort="1" ref="B1:R17">
    <sortCondition descending="1" ref="B17"/>
  </sortState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3BA5E-B045-4034-9C06-7046EFD6559A}">
  <dimension ref="A1:IV18"/>
  <sheetViews>
    <sheetView workbookViewId="0">
      <pane xSplit="1" ySplit="1" topLeftCell="B13" activePane="bottomRight" state="frozen"/>
      <selection pane="topRight" activeCell="B1" sqref="B1"/>
      <selection pane="bottomLeft" activeCell="A2" sqref="A2"/>
      <selection pane="bottomRight"/>
    </sheetView>
  </sheetViews>
  <sheetFormatPr defaultRowHeight="14.4" x14ac:dyDescent="0.3"/>
  <cols>
    <col min="2" max="18" width="7.77734375" customWidth="1"/>
  </cols>
  <sheetData>
    <row r="1" spans="1:256" x14ac:dyDescent="0.3">
      <c r="A1" t="s">
        <v>702</v>
      </c>
      <c r="B1" t="s">
        <v>693</v>
      </c>
      <c r="C1" t="s">
        <v>694</v>
      </c>
      <c r="D1" t="s">
        <v>685</v>
      </c>
      <c r="E1" t="s">
        <v>686</v>
      </c>
      <c r="F1" t="s">
        <v>687</v>
      </c>
      <c r="G1" t="s">
        <v>688</v>
      </c>
      <c r="H1" t="s">
        <v>689</v>
      </c>
      <c r="I1" t="s">
        <v>690</v>
      </c>
      <c r="J1" t="s">
        <v>691</v>
      </c>
      <c r="K1" t="s">
        <v>692</v>
      </c>
      <c r="L1" t="s">
        <v>695</v>
      </c>
      <c r="M1" t="s">
        <v>696</v>
      </c>
      <c r="N1" t="s">
        <v>697</v>
      </c>
      <c r="O1" t="s">
        <v>698</v>
      </c>
      <c r="P1" t="s">
        <v>699</v>
      </c>
      <c r="Q1" t="s">
        <v>700</v>
      </c>
      <c r="R1" t="s">
        <v>701</v>
      </c>
      <c r="IV1" t="s">
        <v>809</v>
      </c>
    </row>
    <row r="2" spans="1:256" x14ac:dyDescent="0.3">
      <c r="A2" s="1">
        <v>44980.701215277775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IV2">
        <v>0</v>
      </c>
    </row>
    <row r="3" spans="1:256" x14ac:dyDescent="0.3">
      <c r="A3" s="1">
        <v>44980.701226851852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IV3">
        <v>1</v>
      </c>
    </row>
    <row r="4" spans="1:256" x14ac:dyDescent="0.3">
      <c r="A4" s="1">
        <v>44980.701238425929</v>
      </c>
      <c r="B4">
        <v>81.900000000000006</v>
      </c>
      <c r="C4">
        <v>81.900000000000006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IV4">
        <v>163.80000000000001</v>
      </c>
    </row>
    <row r="5" spans="1:256" x14ac:dyDescent="0.3">
      <c r="A5" s="1">
        <v>44980.701249999998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IV5">
        <v>0</v>
      </c>
    </row>
    <row r="6" spans="1:256" x14ac:dyDescent="0.3">
      <c r="A6" s="1">
        <v>44980.701261574075</v>
      </c>
      <c r="B6">
        <v>15</v>
      </c>
      <c r="C6">
        <v>15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IV6">
        <v>30</v>
      </c>
    </row>
    <row r="7" spans="1:256" x14ac:dyDescent="0.3">
      <c r="A7" s="1">
        <v>44980.701273148145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IV7">
        <v>0</v>
      </c>
    </row>
    <row r="8" spans="1:256" x14ac:dyDescent="0.3">
      <c r="A8" s="1">
        <v>44980.701284722221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IV8">
        <v>0</v>
      </c>
    </row>
    <row r="9" spans="1:256" x14ac:dyDescent="0.3">
      <c r="A9" s="1">
        <v>44980.701296296298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IV9">
        <v>0</v>
      </c>
    </row>
    <row r="10" spans="1:256" x14ac:dyDescent="0.3">
      <c r="A10" s="1">
        <v>44980.701307870368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IV10">
        <v>0</v>
      </c>
    </row>
    <row r="11" spans="1:256" x14ac:dyDescent="0.3">
      <c r="A11" s="1">
        <v>44980.701319444444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IV11">
        <v>1</v>
      </c>
    </row>
    <row r="13" spans="1:256" x14ac:dyDescent="0.3">
      <c r="A13" t="s">
        <v>804</v>
      </c>
      <c r="B13" s="9">
        <f>AVERAGE(B2:B11)</f>
        <v>9.7900000000000009</v>
      </c>
      <c r="C13" s="9">
        <f>AVERAGE(C2:C11)</f>
        <v>9.7900000000000009</v>
      </c>
      <c r="D13" s="9">
        <f>AVERAGE(D2:D11)</f>
        <v>0</v>
      </c>
      <c r="E13" s="9">
        <f>AVERAGE(E2:E11)</f>
        <v>0</v>
      </c>
      <c r="F13" s="9">
        <f>AVERAGE(F2:F11)</f>
        <v>0</v>
      </c>
      <c r="G13" s="9">
        <f>AVERAGE(G2:G11)</f>
        <v>0</v>
      </c>
      <c r="H13" s="9">
        <f>AVERAGE(H2:H11)</f>
        <v>0</v>
      </c>
      <c r="I13" s="9">
        <f>AVERAGE(I2:I11)</f>
        <v>0</v>
      </c>
      <c r="J13" s="9">
        <f>AVERAGE(J2:J11)</f>
        <v>0</v>
      </c>
      <c r="K13" s="9">
        <f>AVERAGE(K2:K11)</f>
        <v>0</v>
      </c>
      <c r="L13" s="9">
        <f>AVERAGE(L2:L11)</f>
        <v>0</v>
      </c>
      <c r="M13" s="9">
        <f>AVERAGE(M2:M11)</f>
        <v>0</v>
      </c>
      <c r="N13" s="9">
        <f>AVERAGE(N2:N11)</f>
        <v>0</v>
      </c>
      <c r="O13" s="9">
        <f>AVERAGE(O2:O11)</f>
        <v>0</v>
      </c>
      <c r="P13" s="9">
        <f>AVERAGE(P2:P11)</f>
        <v>0</v>
      </c>
      <c r="Q13" s="9">
        <f>AVERAGE(Q2:Q11)</f>
        <v>0</v>
      </c>
      <c r="R13" s="9">
        <f>AVERAGE(R2:R11)</f>
        <v>0</v>
      </c>
    </row>
    <row r="14" spans="1:256" x14ac:dyDescent="0.3">
      <c r="A14" t="s">
        <v>805</v>
      </c>
      <c r="B14" s="9">
        <f>IF(B13=0,0,MAX(SUMPRODUCT(B2:B11,B2:B11)/SUM(B2:B11)-B13,0))</f>
        <v>61.033391215526045</v>
      </c>
      <c r="C14" s="9">
        <f>IF(C13=0,0,MAX(SUMPRODUCT(C2:C11,C2:C11)/SUM(C2:C11)-C13,0))</f>
        <v>61.033391215526045</v>
      </c>
      <c r="D14" s="9">
        <f>IF(D13=0,0,MAX(SUMPRODUCT(D2:D11,D2:D11)/SUM(D2:D11)-D13,0))</f>
        <v>0</v>
      </c>
      <c r="E14" s="9">
        <f>IF(E13=0,0,MAX(SUMPRODUCT(E2:E11,E2:E11)/SUM(E2:E11)-E13,0))</f>
        <v>0</v>
      </c>
      <c r="F14" s="9">
        <f>IF(F13=0,0,MAX(SUMPRODUCT(F2:F11,F2:F11)/SUM(F2:F11)-F13,0))</f>
        <v>0</v>
      </c>
      <c r="G14" s="9">
        <f>IF(G13=0,0,MAX(SUMPRODUCT(G2:G11,G2:G11)/SUM(G2:G11)-G13,0))</f>
        <v>0</v>
      </c>
      <c r="H14" s="9">
        <f>IF(H13=0,0,MAX(SUMPRODUCT(H2:H11,H2:H11)/SUM(H2:H11)-H13,0))</f>
        <v>0</v>
      </c>
      <c r="I14" s="9">
        <f>IF(I13=0,0,MAX(SUMPRODUCT(I2:I11,I2:I11)/SUM(I2:I11)-I13,0))</f>
        <v>0</v>
      </c>
      <c r="J14" s="9">
        <f>IF(J13=0,0,MAX(SUMPRODUCT(J2:J11,J2:J11)/SUM(J2:J11)-J13,0))</f>
        <v>0</v>
      </c>
      <c r="K14" s="9">
        <f>IF(K13=0,0,MAX(SUMPRODUCT(K2:K11,K2:K11)/SUM(K2:K11)-K13,0))</f>
        <v>0</v>
      </c>
      <c r="L14" s="9">
        <f>IF(L13=0,0,MAX(SUMPRODUCT(L2:L11,L2:L11)/SUM(L2:L11)-L13,0))</f>
        <v>0</v>
      </c>
      <c r="M14" s="9">
        <f>IF(M13=0,0,MAX(SUMPRODUCT(M2:M11,M2:M11)/SUM(M2:M11)-M13,0))</f>
        <v>0</v>
      </c>
      <c r="N14" s="9">
        <f>IF(N13=0,0,MAX(SUMPRODUCT(N2:N11,N2:N11)/SUM(N2:N11)-N13,0))</f>
        <v>0</v>
      </c>
      <c r="O14" s="9">
        <f>IF(O13=0,0,MAX(SUMPRODUCT(O2:O11,O2:O11)/SUM(O2:O11)-O13,0))</f>
        <v>0</v>
      </c>
      <c r="P14" s="9">
        <f>IF(P13=0,0,MAX(SUMPRODUCT(P2:P11,P2:P11)/SUM(P2:P11)-P13,0))</f>
        <v>0</v>
      </c>
      <c r="Q14" s="9">
        <f>IF(Q13=0,0,MAX(SUMPRODUCT(Q2:Q11,Q2:Q11)/SUM(Q2:Q11)-Q13,0))</f>
        <v>0</v>
      </c>
      <c r="R14" s="9">
        <f>IF(R13=0,0,MAX(SUMPRODUCT(R2:R11,R2:R11)/SUM(R2:R11)-R13,0))</f>
        <v>0</v>
      </c>
    </row>
    <row r="15" spans="1:256" x14ac:dyDescent="0.3">
      <c r="A15" t="s">
        <v>806</v>
      </c>
      <c r="B15" s="9">
        <f>MAX(B2:B11)</f>
        <v>81.900000000000006</v>
      </c>
      <c r="C15" s="9">
        <f>MAX(C2:C11)</f>
        <v>81.900000000000006</v>
      </c>
      <c r="D15" s="9">
        <f>MAX(D2:D11)</f>
        <v>0</v>
      </c>
      <c r="E15" s="9">
        <f>MAX(E2:E11)</f>
        <v>0</v>
      </c>
      <c r="F15" s="9">
        <f>MAX(F2:F11)</f>
        <v>0</v>
      </c>
      <c r="G15" s="9">
        <f>MAX(G2:G11)</f>
        <v>0</v>
      </c>
      <c r="H15" s="9">
        <f>MAX(H2:H11)</f>
        <v>0</v>
      </c>
      <c r="I15" s="9">
        <f>MAX(I2:I11)</f>
        <v>0</v>
      </c>
      <c r="J15" s="9">
        <f>MAX(J2:J11)</f>
        <v>0</v>
      </c>
      <c r="K15" s="9">
        <f>MAX(K2:K11)</f>
        <v>0</v>
      </c>
      <c r="L15" s="9">
        <f>MAX(L2:L11)</f>
        <v>0</v>
      </c>
      <c r="M15" s="9">
        <f>MAX(M2:M11)</f>
        <v>0</v>
      </c>
      <c r="N15" s="9">
        <f>MAX(N2:N11)</f>
        <v>0</v>
      </c>
      <c r="O15" s="9">
        <f>MAX(O2:O11)</f>
        <v>0</v>
      </c>
      <c r="P15" s="9">
        <f>MAX(P2:P11)</f>
        <v>0</v>
      </c>
      <c r="Q15" s="9">
        <f>MAX(Q2:Q11)</f>
        <v>0</v>
      </c>
      <c r="R15" s="9">
        <f>MAX(R2:R11)</f>
        <v>0</v>
      </c>
    </row>
    <row r="16" spans="1:256" x14ac:dyDescent="0.3">
      <c r="A16" t="s">
        <v>807</v>
      </c>
      <c r="B16" s="9">
        <f>MIN(B2:B11)</f>
        <v>0</v>
      </c>
      <c r="C16" s="9">
        <f>MIN(C2:C11)</f>
        <v>0</v>
      </c>
      <c r="D16" s="9">
        <f>MIN(D2:D11)</f>
        <v>0</v>
      </c>
      <c r="E16" s="9">
        <f>MIN(E2:E11)</f>
        <v>0</v>
      </c>
      <c r="F16" s="9">
        <f>MIN(F2:F11)</f>
        <v>0</v>
      </c>
      <c r="G16" s="9">
        <f>MIN(G2:G11)</f>
        <v>0</v>
      </c>
      <c r="H16" s="9">
        <f>MIN(H2:H11)</f>
        <v>0</v>
      </c>
      <c r="I16" s="9">
        <f>MIN(I2:I11)</f>
        <v>0</v>
      </c>
      <c r="J16" s="9">
        <f>MIN(J2:J11)</f>
        <v>0</v>
      </c>
      <c r="K16" s="9">
        <f>MIN(K2:K11)</f>
        <v>0</v>
      </c>
      <c r="L16" s="9">
        <f>MIN(L2:L11)</f>
        <v>0</v>
      </c>
      <c r="M16" s="9">
        <f>MIN(M2:M11)</f>
        <v>0</v>
      </c>
      <c r="N16" s="9">
        <f>MIN(N2:N11)</f>
        <v>0</v>
      </c>
      <c r="O16" s="9">
        <f>MIN(O2:O11)</f>
        <v>0</v>
      </c>
      <c r="P16" s="9">
        <f>MIN(P2:P11)</f>
        <v>0</v>
      </c>
      <c r="Q16" s="9">
        <f>MIN(Q2:Q11)</f>
        <v>0</v>
      </c>
      <c r="R16" s="9">
        <f>MIN(R2:R11)</f>
        <v>0</v>
      </c>
    </row>
    <row r="17" spans="1:18" x14ac:dyDescent="0.3">
      <c r="A17" t="s">
        <v>808</v>
      </c>
      <c r="B17" s="9">
        <f>B13+ B14</f>
        <v>70.823391215526044</v>
      </c>
      <c r="C17" s="9">
        <f>C13+ C14</f>
        <v>70.823391215526044</v>
      </c>
      <c r="D17" s="9">
        <f>D13+ D14</f>
        <v>0</v>
      </c>
      <c r="E17" s="9">
        <f>E13+ E14</f>
        <v>0</v>
      </c>
      <c r="F17" s="9">
        <f>F13+ F14</f>
        <v>0</v>
      </c>
      <c r="G17" s="9">
        <f>G13+ G14</f>
        <v>0</v>
      </c>
      <c r="H17" s="9">
        <f>H13+ H14</f>
        <v>0</v>
      </c>
      <c r="I17" s="9">
        <f>I13+ I14</f>
        <v>0</v>
      </c>
      <c r="J17" s="9">
        <f>J13+ J14</f>
        <v>0</v>
      </c>
      <c r="K17" s="9">
        <f>K13+ K14</f>
        <v>0</v>
      </c>
      <c r="L17" s="9">
        <f>L13+ L14</f>
        <v>0</v>
      </c>
      <c r="M17" s="9">
        <f>M13+ M14</f>
        <v>0</v>
      </c>
      <c r="N17" s="9">
        <f>N13+ N14</f>
        <v>0</v>
      </c>
      <c r="O17" s="9">
        <f>O13+ O14</f>
        <v>0</v>
      </c>
      <c r="P17" s="9">
        <f>P13+ P14</f>
        <v>0</v>
      </c>
      <c r="Q17" s="9">
        <f>Q13+ Q14</f>
        <v>0</v>
      </c>
      <c r="R17" s="9">
        <f>R13+ R14</f>
        <v>0</v>
      </c>
    </row>
    <row r="18" spans="1:18" x14ac:dyDescent="0.3"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</row>
  </sheetData>
  <sortState xmlns:xlrd2="http://schemas.microsoft.com/office/spreadsheetml/2017/richdata2" columnSort="1" ref="B1:R17">
    <sortCondition descending="1" ref="B17"/>
  </sortState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8250C-EE93-4294-8358-C5235AD03CFA}">
  <dimension ref="A1:IV18"/>
  <sheetViews>
    <sheetView workbookViewId="0">
      <pane xSplit="1" ySplit="1" topLeftCell="B13" activePane="bottomRight" state="frozen"/>
      <selection pane="topRight" activeCell="B1" sqref="B1"/>
      <selection pane="bottomLeft" activeCell="A2" sqref="A2"/>
      <selection pane="bottomRight"/>
    </sheetView>
  </sheetViews>
  <sheetFormatPr defaultRowHeight="14.4" x14ac:dyDescent="0.3"/>
  <cols>
    <col min="2" max="18" width="7.77734375" customWidth="1"/>
  </cols>
  <sheetData>
    <row r="1" spans="1:256" x14ac:dyDescent="0.3">
      <c r="A1" t="s">
        <v>703</v>
      </c>
      <c r="B1" t="s">
        <v>685</v>
      </c>
      <c r="C1" t="s">
        <v>686</v>
      </c>
      <c r="D1" t="s">
        <v>687</v>
      </c>
      <c r="E1" t="s">
        <v>688</v>
      </c>
      <c r="F1" t="s">
        <v>689</v>
      </c>
      <c r="G1" t="s">
        <v>690</v>
      </c>
      <c r="H1" t="s">
        <v>691</v>
      </c>
      <c r="I1" t="s">
        <v>692</v>
      </c>
      <c r="J1" t="s">
        <v>693</v>
      </c>
      <c r="K1" t="s">
        <v>694</v>
      </c>
      <c r="L1" t="s">
        <v>695</v>
      </c>
      <c r="M1" t="s">
        <v>696</v>
      </c>
      <c r="N1" t="s">
        <v>697</v>
      </c>
      <c r="O1" t="s">
        <v>698</v>
      </c>
      <c r="P1" t="s">
        <v>699</v>
      </c>
      <c r="Q1" t="s">
        <v>700</v>
      </c>
      <c r="R1" t="s">
        <v>701</v>
      </c>
      <c r="IV1" t="s">
        <v>809</v>
      </c>
    </row>
    <row r="2" spans="1:256" x14ac:dyDescent="0.3">
      <c r="A2" s="1">
        <v>44980.701215277775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IV2">
        <v>0</v>
      </c>
    </row>
    <row r="3" spans="1:256" x14ac:dyDescent="0.3">
      <c r="A3" s="1">
        <v>44980.701226851852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IV3">
        <v>0</v>
      </c>
    </row>
    <row r="4" spans="1:256" x14ac:dyDescent="0.3">
      <c r="A4" s="1">
        <v>44980.701238425929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IV4">
        <v>0</v>
      </c>
    </row>
    <row r="5" spans="1:256" x14ac:dyDescent="0.3">
      <c r="A5" s="1">
        <v>44980.701249999998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IV5">
        <v>0</v>
      </c>
    </row>
    <row r="6" spans="1:256" x14ac:dyDescent="0.3">
      <c r="A6" s="1">
        <v>44980.701261574075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IV6">
        <v>0</v>
      </c>
    </row>
    <row r="7" spans="1:256" x14ac:dyDescent="0.3">
      <c r="A7" s="1">
        <v>44980.701273148145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IV7">
        <v>0</v>
      </c>
    </row>
    <row r="8" spans="1:256" x14ac:dyDescent="0.3">
      <c r="A8" s="1">
        <v>44980.701284722221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IV8">
        <v>0</v>
      </c>
    </row>
    <row r="9" spans="1:256" x14ac:dyDescent="0.3">
      <c r="A9" s="1">
        <v>44980.701296296298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IV9">
        <v>0</v>
      </c>
    </row>
    <row r="10" spans="1:256" x14ac:dyDescent="0.3">
      <c r="A10" s="1">
        <v>44980.701307870368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IV10">
        <v>0</v>
      </c>
    </row>
    <row r="11" spans="1:256" x14ac:dyDescent="0.3">
      <c r="A11" s="1">
        <v>44980.701319444444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IV11">
        <v>0</v>
      </c>
    </row>
    <row r="13" spans="1:256" x14ac:dyDescent="0.3">
      <c r="A13" t="s">
        <v>804</v>
      </c>
      <c r="B13" s="9">
        <f>AVERAGE(B2:B11)</f>
        <v>0</v>
      </c>
      <c r="C13" s="9">
        <f>AVERAGE(C2:C11)</f>
        <v>0</v>
      </c>
      <c r="D13" s="9">
        <f>AVERAGE(D2:D11)</f>
        <v>0</v>
      </c>
      <c r="E13" s="9">
        <f>AVERAGE(E2:E11)</f>
        <v>0</v>
      </c>
      <c r="F13" s="9">
        <f>AVERAGE(F2:F11)</f>
        <v>0</v>
      </c>
      <c r="G13" s="9">
        <f>AVERAGE(G2:G11)</f>
        <v>0</v>
      </c>
      <c r="H13" s="9">
        <f>AVERAGE(H2:H11)</f>
        <v>0</v>
      </c>
      <c r="I13" s="9">
        <f>AVERAGE(I2:I11)</f>
        <v>0</v>
      </c>
      <c r="J13" s="9">
        <f>AVERAGE(J2:J11)</f>
        <v>0</v>
      </c>
      <c r="K13" s="9">
        <f>AVERAGE(K2:K11)</f>
        <v>0</v>
      </c>
      <c r="L13" s="9">
        <f>AVERAGE(L2:L11)</f>
        <v>0</v>
      </c>
      <c r="M13" s="9">
        <f>AVERAGE(M2:M11)</f>
        <v>0</v>
      </c>
      <c r="N13" s="9">
        <f>AVERAGE(N2:N11)</f>
        <v>0</v>
      </c>
      <c r="O13" s="9">
        <f>AVERAGE(O2:O11)</f>
        <v>0</v>
      </c>
      <c r="P13" s="9">
        <f>AVERAGE(P2:P11)</f>
        <v>0</v>
      </c>
      <c r="Q13" s="9">
        <f>AVERAGE(Q2:Q11)</f>
        <v>0</v>
      </c>
      <c r="R13" s="9">
        <f>AVERAGE(R2:R11)</f>
        <v>0</v>
      </c>
    </row>
    <row r="14" spans="1:256" x14ac:dyDescent="0.3">
      <c r="A14" t="s">
        <v>805</v>
      </c>
      <c r="B14" s="9">
        <f>IF(B13=0,0,MAX(SUMPRODUCT(B2:B11,B2:B11)/SUM(B2:B11)-B13,0))</f>
        <v>0</v>
      </c>
      <c r="C14" s="9">
        <f>IF(C13=0,0,MAX(SUMPRODUCT(C2:C11,C2:C11)/SUM(C2:C11)-C13,0))</f>
        <v>0</v>
      </c>
      <c r="D14" s="9">
        <f>IF(D13=0,0,MAX(SUMPRODUCT(D2:D11,D2:D11)/SUM(D2:D11)-D13,0))</f>
        <v>0</v>
      </c>
      <c r="E14" s="9">
        <f>IF(E13=0,0,MAX(SUMPRODUCT(E2:E11,E2:E11)/SUM(E2:E11)-E13,0))</f>
        <v>0</v>
      </c>
      <c r="F14" s="9">
        <f>IF(F13=0,0,MAX(SUMPRODUCT(F2:F11,F2:F11)/SUM(F2:F11)-F13,0))</f>
        <v>0</v>
      </c>
      <c r="G14" s="9">
        <f>IF(G13=0,0,MAX(SUMPRODUCT(G2:G11,G2:G11)/SUM(G2:G11)-G13,0))</f>
        <v>0</v>
      </c>
      <c r="H14" s="9">
        <f>IF(H13=0,0,MAX(SUMPRODUCT(H2:H11,H2:H11)/SUM(H2:H11)-H13,0))</f>
        <v>0</v>
      </c>
      <c r="I14" s="9">
        <f>IF(I13=0,0,MAX(SUMPRODUCT(I2:I11,I2:I11)/SUM(I2:I11)-I13,0))</f>
        <v>0</v>
      </c>
      <c r="J14" s="9">
        <f>IF(J13=0,0,MAX(SUMPRODUCT(J2:J11,J2:J11)/SUM(J2:J11)-J13,0))</f>
        <v>0</v>
      </c>
      <c r="K14" s="9">
        <f>IF(K13=0,0,MAX(SUMPRODUCT(K2:K11,K2:K11)/SUM(K2:K11)-K13,0))</f>
        <v>0</v>
      </c>
      <c r="L14" s="9">
        <f>IF(L13=0,0,MAX(SUMPRODUCT(L2:L11,L2:L11)/SUM(L2:L11)-L13,0))</f>
        <v>0</v>
      </c>
      <c r="M14" s="9">
        <f>IF(M13=0,0,MAX(SUMPRODUCT(M2:M11,M2:M11)/SUM(M2:M11)-M13,0))</f>
        <v>0</v>
      </c>
      <c r="N14" s="9">
        <f>IF(N13=0,0,MAX(SUMPRODUCT(N2:N11,N2:N11)/SUM(N2:N11)-N13,0))</f>
        <v>0</v>
      </c>
      <c r="O14" s="9">
        <f>IF(O13=0,0,MAX(SUMPRODUCT(O2:O11,O2:O11)/SUM(O2:O11)-O13,0))</f>
        <v>0</v>
      </c>
      <c r="P14" s="9">
        <f>IF(P13=0,0,MAX(SUMPRODUCT(P2:P11,P2:P11)/SUM(P2:P11)-P13,0))</f>
        <v>0</v>
      </c>
      <c r="Q14" s="9">
        <f>IF(Q13=0,0,MAX(SUMPRODUCT(Q2:Q11,Q2:Q11)/SUM(Q2:Q11)-Q13,0))</f>
        <v>0</v>
      </c>
      <c r="R14" s="9">
        <f>IF(R13=0,0,MAX(SUMPRODUCT(R2:R11,R2:R11)/SUM(R2:R11)-R13,0))</f>
        <v>0</v>
      </c>
    </row>
    <row r="15" spans="1:256" x14ac:dyDescent="0.3">
      <c r="A15" t="s">
        <v>806</v>
      </c>
      <c r="B15" s="9">
        <f>MAX(B2:B11)</f>
        <v>0</v>
      </c>
      <c r="C15" s="9">
        <f>MAX(C2:C11)</f>
        <v>0</v>
      </c>
      <c r="D15" s="9">
        <f>MAX(D2:D11)</f>
        <v>0</v>
      </c>
      <c r="E15" s="9">
        <f>MAX(E2:E11)</f>
        <v>0</v>
      </c>
      <c r="F15" s="9">
        <f>MAX(F2:F11)</f>
        <v>0</v>
      </c>
      <c r="G15" s="9">
        <f>MAX(G2:G11)</f>
        <v>0</v>
      </c>
      <c r="H15" s="9">
        <f>MAX(H2:H11)</f>
        <v>0</v>
      </c>
      <c r="I15" s="9">
        <f>MAX(I2:I11)</f>
        <v>0</v>
      </c>
      <c r="J15" s="9">
        <f>MAX(J2:J11)</f>
        <v>0</v>
      </c>
      <c r="K15" s="9">
        <f>MAX(K2:K11)</f>
        <v>0</v>
      </c>
      <c r="L15" s="9">
        <f>MAX(L2:L11)</f>
        <v>0</v>
      </c>
      <c r="M15" s="9">
        <f>MAX(M2:M11)</f>
        <v>0</v>
      </c>
      <c r="N15" s="9">
        <f>MAX(N2:N11)</f>
        <v>0</v>
      </c>
      <c r="O15" s="9">
        <f>MAX(O2:O11)</f>
        <v>0</v>
      </c>
      <c r="P15" s="9">
        <f>MAX(P2:P11)</f>
        <v>0</v>
      </c>
      <c r="Q15" s="9">
        <f>MAX(Q2:Q11)</f>
        <v>0</v>
      </c>
      <c r="R15" s="9">
        <f>MAX(R2:R11)</f>
        <v>0</v>
      </c>
    </row>
    <row r="16" spans="1:256" x14ac:dyDescent="0.3">
      <c r="A16" t="s">
        <v>807</v>
      </c>
      <c r="B16" s="9">
        <f>MIN(B2:B11)</f>
        <v>0</v>
      </c>
      <c r="C16" s="9">
        <f>MIN(C2:C11)</f>
        <v>0</v>
      </c>
      <c r="D16" s="9">
        <f>MIN(D2:D11)</f>
        <v>0</v>
      </c>
      <c r="E16" s="9">
        <f>MIN(E2:E11)</f>
        <v>0</v>
      </c>
      <c r="F16" s="9">
        <f>MIN(F2:F11)</f>
        <v>0</v>
      </c>
      <c r="G16" s="9">
        <f>MIN(G2:G11)</f>
        <v>0</v>
      </c>
      <c r="H16" s="9">
        <f>MIN(H2:H11)</f>
        <v>0</v>
      </c>
      <c r="I16" s="9">
        <f>MIN(I2:I11)</f>
        <v>0</v>
      </c>
      <c r="J16" s="9">
        <f>MIN(J2:J11)</f>
        <v>0</v>
      </c>
      <c r="K16" s="9">
        <f>MIN(K2:K11)</f>
        <v>0</v>
      </c>
      <c r="L16" s="9">
        <f>MIN(L2:L11)</f>
        <v>0</v>
      </c>
      <c r="M16" s="9">
        <f>MIN(M2:M11)</f>
        <v>0</v>
      </c>
      <c r="N16" s="9">
        <f>MIN(N2:N11)</f>
        <v>0</v>
      </c>
      <c r="O16" s="9">
        <f>MIN(O2:O11)</f>
        <v>0</v>
      </c>
      <c r="P16" s="9">
        <f>MIN(P2:P11)</f>
        <v>0</v>
      </c>
      <c r="Q16" s="9">
        <f>MIN(Q2:Q11)</f>
        <v>0</v>
      </c>
      <c r="R16" s="9">
        <f>MIN(R2:R11)</f>
        <v>0</v>
      </c>
    </row>
    <row r="17" spans="1:18" x14ac:dyDescent="0.3">
      <c r="A17" t="s">
        <v>808</v>
      </c>
      <c r="B17" s="9">
        <f>B13+ B14</f>
        <v>0</v>
      </c>
      <c r="C17" s="9">
        <f>C13+ C14</f>
        <v>0</v>
      </c>
      <c r="D17" s="9">
        <f>D13+ D14</f>
        <v>0</v>
      </c>
      <c r="E17" s="9">
        <f>E13+ E14</f>
        <v>0</v>
      </c>
      <c r="F17" s="9">
        <f>F13+ F14</f>
        <v>0</v>
      </c>
      <c r="G17" s="9">
        <f>G13+ G14</f>
        <v>0</v>
      </c>
      <c r="H17" s="9">
        <f>H13+ H14</f>
        <v>0</v>
      </c>
      <c r="I17" s="9">
        <f>I13+ I14</f>
        <v>0</v>
      </c>
      <c r="J17" s="9">
        <f>J13+ J14</f>
        <v>0</v>
      </c>
      <c r="K17" s="9">
        <f>K13+ K14</f>
        <v>0</v>
      </c>
      <c r="L17" s="9">
        <f>L13+ L14</f>
        <v>0</v>
      </c>
      <c r="M17" s="9">
        <f>M13+ M14</f>
        <v>0</v>
      </c>
      <c r="N17" s="9">
        <f>N13+ N14</f>
        <v>0</v>
      </c>
      <c r="O17" s="9">
        <f>O13+ O14</f>
        <v>0</v>
      </c>
      <c r="P17" s="9">
        <f>P13+ P14</f>
        <v>0</v>
      </c>
      <c r="Q17" s="9">
        <f>Q13+ Q14</f>
        <v>0</v>
      </c>
      <c r="R17" s="9">
        <f>R13+ R14</f>
        <v>0</v>
      </c>
    </row>
    <row r="18" spans="1:18" x14ac:dyDescent="0.3"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</row>
  </sheetData>
  <sortState xmlns:xlrd2="http://schemas.microsoft.com/office/spreadsheetml/2017/richdata2" columnSort="1" ref="B1:R17">
    <sortCondition descending="1" ref="B17"/>
  </sortState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156AA-4B8A-4B5C-A6C8-3AA9F1FAF057}">
  <dimension ref="A1:IV18"/>
  <sheetViews>
    <sheetView workbookViewId="0">
      <pane xSplit="1" ySplit="1" topLeftCell="B13" activePane="bottomRight" state="frozen"/>
      <selection pane="topRight" activeCell="B1" sqref="B1"/>
      <selection pane="bottomLeft" activeCell="A2" sqref="A2"/>
      <selection pane="bottomRight"/>
    </sheetView>
  </sheetViews>
  <sheetFormatPr defaultRowHeight="14.4" x14ac:dyDescent="0.3"/>
  <cols>
    <col min="2" max="18" width="7.77734375" customWidth="1"/>
  </cols>
  <sheetData>
    <row r="1" spans="1:256" x14ac:dyDescent="0.3">
      <c r="A1" t="s">
        <v>704</v>
      </c>
      <c r="B1" t="s">
        <v>693</v>
      </c>
      <c r="C1" t="s">
        <v>694</v>
      </c>
      <c r="D1" t="s">
        <v>685</v>
      </c>
      <c r="E1" t="s">
        <v>686</v>
      </c>
      <c r="F1" t="s">
        <v>687</v>
      </c>
      <c r="G1" t="s">
        <v>688</v>
      </c>
      <c r="H1" t="s">
        <v>689</v>
      </c>
      <c r="I1" t="s">
        <v>690</v>
      </c>
      <c r="J1" t="s">
        <v>691</v>
      </c>
      <c r="K1" t="s">
        <v>692</v>
      </c>
      <c r="L1" t="s">
        <v>695</v>
      </c>
      <c r="M1" t="s">
        <v>696</v>
      </c>
      <c r="N1" t="s">
        <v>697</v>
      </c>
      <c r="O1" t="s">
        <v>698</v>
      </c>
      <c r="P1" t="s">
        <v>699</v>
      </c>
      <c r="Q1" t="s">
        <v>700</v>
      </c>
      <c r="R1" t="s">
        <v>701</v>
      </c>
      <c r="IV1" t="s">
        <v>809</v>
      </c>
    </row>
    <row r="2" spans="1:256" x14ac:dyDescent="0.3">
      <c r="A2" s="1">
        <v>44980.701215277775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IV2">
        <v>0</v>
      </c>
    </row>
    <row r="3" spans="1:256" x14ac:dyDescent="0.3">
      <c r="A3" s="1">
        <v>44980.701226851852</v>
      </c>
      <c r="B3">
        <v>123.7</v>
      </c>
      <c r="C3">
        <v>123.7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IV3">
        <v>247.4</v>
      </c>
    </row>
    <row r="4" spans="1:256" x14ac:dyDescent="0.3">
      <c r="A4" s="1">
        <v>44980.701238425929</v>
      </c>
      <c r="B4">
        <v>799</v>
      </c>
      <c r="C4">
        <v>799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IV4">
        <v>1598</v>
      </c>
    </row>
    <row r="5" spans="1:256" x14ac:dyDescent="0.3">
      <c r="A5" s="1">
        <v>44980.701249999998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IV5">
        <v>0</v>
      </c>
    </row>
    <row r="6" spans="1:256" x14ac:dyDescent="0.3">
      <c r="A6" s="1">
        <v>44980.701261574075</v>
      </c>
      <c r="B6">
        <v>207.8</v>
      </c>
      <c r="C6">
        <v>207.8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IV6">
        <v>415.6</v>
      </c>
    </row>
    <row r="7" spans="1:256" x14ac:dyDescent="0.3">
      <c r="A7" s="1">
        <v>44980.701273148145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IV7">
        <v>0</v>
      </c>
    </row>
    <row r="8" spans="1:256" x14ac:dyDescent="0.3">
      <c r="A8" s="1">
        <v>44980.701284722221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IV8">
        <v>0</v>
      </c>
    </row>
    <row r="9" spans="1:256" x14ac:dyDescent="0.3">
      <c r="A9" s="1">
        <v>44980.701296296298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IV9">
        <v>0</v>
      </c>
    </row>
    <row r="10" spans="1:256" x14ac:dyDescent="0.3">
      <c r="A10" s="1">
        <v>44980.701307870368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IV10">
        <v>0</v>
      </c>
    </row>
    <row r="11" spans="1:256" x14ac:dyDescent="0.3">
      <c r="A11" s="1">
        <v>44980.701319444444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IV11">
        <v>0</v>
      </c>
    </row>
    <row r="13" spans="1:256" x14ac:dyDescent="0.3">
      <c r="A13" t="s">
        <v>804</v>
      </c>
      <c r="B13" s="9">
        <f>AVERAGE(B2:B11)</f>
        <v>113.05</v>
      </c>
      <c r="C13" s="9">
        <f>AVERAGE(C2:C11)</f>
        <v>113.05</v>
      </c>
      <c r="D13" s="9">
        <f>AVERAGE(D2:D11)</f>
        <v>0</v>
      </c>
      <c r="E13" s="9">
        <f>AVERAGE(E2:E11)</f>
        <v>0</v>
      </c>
      <c r="F13" s="9">
        <f>AVERAGE(F2:F11)</f>
        <v>0</v>
      </c>
      <c r="G13" s="9">
        <f>AVERAGE(G2:G11)</f>
        <v>0</v>
      </c>
      <c r="H13" s="9">
        <f>AVERAGE(H2:H11)</f>
        <v>0</v>
      </c>
      <c r="I13" s="9">
        <f>AVERAGE(I2:I11)</f>
        <v>0</v>
      </c>
      <c r="J13" s="9">
        <f>AVERAGE(J2:J11)</f>
        <v>0</v>
      </c>
      <c r="K13" s="9">
        <f>AVERAGE(K2:K11)</f>
        <v>0</v>
      </c>
      <c r="L13" s="9">
        <f>AVERAGE(L2:L11)</f>
        <v>0</v>
      </c>
      <c r="M13" s="9">
        <f>AVERAGE(M2:M11)</f>
        <v>0</v>
      </c>
      <c r="N13" s="9">
        <f>AVERAGE(N2:N11)</f>
        <v>0</v>
      </c>
      <c r="O13" s="9">
        <f>AVERAGE(O2:O11)</f>
        <v>0</v>
      </c>
      <c r="P13" s="9">
        <f>AVERAGE(P2:P11)</f>
        <v>0</v>
      </c>
      <c r="Q13" s="9">
        <f>AVERAGE(Q2:Q11)</f>
        <v>0</v>
      </c>
      <c r="R13" s="9">
        <f>AVERAGE(R2:R11)</f>
        <v>0</v>
      </c>
    </row>
    <row r="14" spans="1:256" x14ac:dyDescent="0.3">
      <c r="A14" t="s">
        <v>805</v>
      </c>
      <c r="B14" s="9">
        <f>IF(B13=0,0,MAX(SUMPRODUCT(B2:B11,B2:B11)/SUM(B2:B11)-B13,0))</f>
        <v>503.38832817337453</v>
      </c>
      <c r="C14" s="9">
        <f>IF(C13=0,0,MAX(SUMPRODUCT(C2:C11,C2:C11)/SUM(C2:C11)-C13,0))</f>
        <v>503.38832817337453</v>
      </c>
      <c r="D14" s="9">
        <f>IF(D13=0,0,MAX(SUMPRODUCT(D2:D11,D2:D11)/SUM(D2:D11)-D13,0))</f>
        <v>0</v>
      </c>
      <c r="E14" s="9">
        <f>IF(E13=0,0,MAX(SUMPRODUCT(E2:E11,E2:E11)/SUM(E2:E11)-E13,0))</f>
        <v>0</v>
      </c>
      <c r="F14" s="9">
        <f>IF(F13=0,0,MAX(SUMPRODUCT(F2:F11,F2:F11)/SUM(F2:F11)-F13,0))</f>
        <v>0</v>
      </c>
      <c r="G14" s="9">
        <f>IF(G13=0,0,MAX(SUMPRODUCT(G2:G11,G2:G11)/SUM(G2:G11)-G13,0))</f>
        <v>0</v>
      </c>
      <c r="H14" s="9">
        <f>IF(H13=0,0,MAX(SUMPRODUCT(H2:H11,H2:H11)/SUM(H2:H11)-H13,0))</f>
        <v>0</v>
      </c>
      <c r="I14" s="9">
        <f>IF(I13=0,0,MAX(SUMPRODUCT(I2:I11,I2:I11)/SUM(I2:I11)-I13,0))</f>
        <v>0</v>
      </c>
      <c r="J14" s="9">
        <f>IF(J13=0,0,MAX(SUMPRODUCT(J2:J11,J2:J11)/SUM(J2:J11)-J13,0))</f>
        <v>0</v>
      </c>
      <c r="K14" s="9">
        <f>IF(K13=0,0,MAX(SUMPRODUCT(K2:K11,K2:K11)/SUM(K2:K11)-K13,0))</f>
        <v>0</v>
      </c>
      <c r="L14" s="9">
        <f>IF(L13=0,0,MAX(SUMPRODUCT(L2:L11,L2:L11)/SUM(L2:L11)-L13,0))</f>
        <v>0</v>
      </c>
      <c r="M14" s="9">
        <f>IF(M13=0,0,MAX(SUMPRODUCT(M2:M11,M2:M11)/SUM(M2:M11)-M13,0))</f>
        <v>0</v>
      </c>
      <c r="N14" s="9">
        <f>IF(N13=0,0,MAX(SUMPRODUCT(N2:N11,N2:N11)/SUM(N2:N11)-N13,0))</f>
        <v>0</v>
      </c>
      <c r="O14" s="9">
        <f>IF(O13=0,0,MAX(SUMPRODUCT(O2:O11,O2:O11)/SUM(O2:O11)-O13,0))</f>
        <v>0</v>
      </c>
      <c r="P14" s="9">
        <f>IF(P13=0,0,MAX(SUMPRODUCT(P2:P11,P2:P11)/SUM(P2:P11)-P13,0))</f>
        <v>0</v>
      </c>
      <c r="Q14" s="9">
        <f>IF(Q13=0,0,MAX(SUMPRODUCT(Q2:Q11,Q2:Q11)/SUM(Q2:Q11)-Q13,0))</f>
        <v>0</v>
      </c>
      <c r="R14" s="9">
        <f>IF(R13=0,0,MAX(SUMPRODUCT(R2:R11,R2:R11)/SUM(R2:R11)-R13,0))</f>
        <v>0</v>
      </c>
    </row>
    <row r="15" spans="1:256" x14ac:dyDescent="0.3">
      <c r="A15" t="s">
        <v>806</v>
      </c>
      <c r="B15" s="9">
        <f>MAX(B2:B11)</f>
        <v>799</v>
      </c>
      <c r="C15" s="9">
        <f>MAX(C2:C11)</f>
        <v>799</v>
      </c>
      <c r="D15" s="9">
        <f>MAX(D2:D11)</f>
        <v>0</v>
      </c>
      <c r="E15" s="9">
        <f>MAX(E2:E11)</f>
        <v>0</v>
      </c>
      <c r="F15" s="9">
        <f>MAX(F2:F11)</f>
        <v>0</v>
      </c>
      <c r="G15" s="9">
        <f>MAX(G2:G11)</f>
        <v>0</v>
      </c>
      <c r="H15" s="9">
        <f>MAX(H2:H11)</f>
        <v>0</v>
      </c>
      <c r="I15" s="9">
        <f>MAX(I2:I11)</f>
        <v>0</v>
      </c>
      <c r="J15" s="9">
        <f>MAX(J2:J11)</f>
        <v>0</v>
      </c>
      <c r="K15" s="9">
        <f>MAX(K2:K11)</f>
        <v>0</v>
      </c>
      <c r="L15" s="9">
        <f>MAX(L2:L11)</f>
        <v>0</v>
      </c>
      <c r="M15" s="9">
        <f>MAX(M2:M11)</f>
        <v>0</v>
      </c>
      <c r="N15" s="9">
        <f>MAX(N2:N11)</f>
        <v>0</v>
      </c>
      <c r="O15" s="9">
        <f>MAX(O2:O11)</f>
        <v>0</v>
      </c>
      <c r="P15" s="9">
        <f>MAX(P2:P11)</f>
        <v>0</v>
      </c>
      <c r="Q15" s="9">
        <f>MAX(Q2:Q11)</f>
        <v>0</v>
      </c>
      <c r="R15" s="9">
        <f>MAX(R2:R11)</f>
        <v>0</v>
      </c>
    </row>
    <row r="16" spans="1:256" x14ac:dyDescent="0.3">
      <c r="A16" t="s">
        <v>807</v>
      </c>
      <c r="B16" s="9">
        <f>MIN(B2:B11)</f>
        <v>0</v>
      </c>
      <c r="C16" s="9">
        <f>MIN(C2:C11)</f>
        <v>0</v>
      </c>
      <c r="D16" s="9">
        <f>MIN(D2:D11)</f>
        <v>0</v>
      </c>
      <c r="E16" s="9">
        <f>MIN(E2:E11)</f>
        <v>0</v>
      </c>
      <c r="F16" s="9">
        <f>MIN(F2:F11)</f>
        <v>0</v>
      </c>
      <c r="G16" s="9">
        <f>MIN(G2:G11)</f>
        <v>0</v>
      </c>
      <c r="H16" s="9">
        <f>MIN(H2:H11)</f>
        <v>0</v>
      </c>
      <c r="I16" s="9">
        <f>MIN(I2:I11)</f>
        <v>0</v>
      </c>
      <c r="J16" s="9">
        <f>MIN(J2:J11)</f>
        <v>0</v>
      </c>
      <c r="K16" s="9">
        <f>MIN(K2:K11)</f>
        <v>0</v>
      </c>
      <c r="L16" s="9">
        <f>MIN(L2:L11)</f>
        <v>0</v>
      </c>
      <c r="M16" s="9">
        <f>MIN(M2:M11)</f>
        <v>0</v>
      </c>
      <c r="N16" s="9">
        <f>MIN(N2:N11)</f>
        <v>0</v>
      </c>
      <c r="O16" s="9">
        <f>MIN(O2:O11)</f>
        <v>0</v>
      </c>
      <c r="P16" s="9">
        <f>MIN(P2:P11)</f>
        <v>0</v>
      </c>
      <c r="Q16" s="9">
        <f>MIN(Q2:Q11)</f>
        <v>0</v>
      </c>
      <c r="R16" s="9">
        <f>MIN(R2:R11)</f>
        <v>0</v>
      </c>
    </row>
    <row r="17" spans="1:18" x14ac:dyDescent="0.3">
      <c r="A17" t="s">
        <v>808</v>
      </c>
      <c r="B17" s="9">
        <f>B13+ B14</f>
        <v>616.43832817337454</v>
      </c>
      <c r="C17" s="9">
        <f>C13+ C14</f>
        <v>616.43832817337454</v>
      </c>
      <c r="D17" s="9">
        <f>D13+ D14</f>
        <v>0</v>
      </c>
      <c r="E17" s="9">
        <f>E13+ E14</f>
        <v>0</v>
      </c>
      <c r="F17" s="9">
        <f>F13+ F14</f>
        <v>0</v>
      </c>
      <c r="G17" s="9">
        <f>G13+ G14</f>
        <v>0</v>
      </c>
      <c r="H17" s="9">
        <f>H13+ H14</f>
        <v>0</v>
      </c>
      <c r="I17" s="9">
        <f>I13+ I14</f>
        <v>0</v>
      </c>
      <c r="J17" s="9">
        <f>J13+ J14</f>
        <v>0</v>
      </c>
      <c r="K17" s="9">
        <f>K13+ K14</f>
        <v>0</v>
      </c>
      <c r="L17" s="9">
        <f>L13+ L14</f>
        <v>0</v>
      </c>
      <c r="M17" s="9">
        <f>M13+ M14</f>
        <v>0</v>
      </c>
      <c r="N17" s="9">
        <f>N13+ N14</f>
        <v>0</v>
      </c>
      <c r="O17" s="9">
        <f>O13+ O14</f>
        <v>0</v>
      </c>
      <c r="P17" s="9">
        <f>P13+ P14</f>
        <v>0</v>
      </c>
      <c r="Q17" s="9">
        <f>Q13+ Q14</f>
        <v>0</v>
      </c>
      <c r="R17" s="9">
        <f>R13+ R14</f>
        <v>0</v>
      </c>
    </row>
    <row r="18" spans="1:18" x14ac:dyDescent="0.3"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</row>
  </sheetData>
  <sortState xmlns:xlrd2="http://schemas.microsoft.com/office/spreadsheetml/2017/richdata2" columnSort="1" ref="B1:R17">
    <sortCondition descending="1" ref="B17"/>
  </sortState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2364A-12EC-44E5-8610-B652B2B69000}">
  <dimension ref="A1:IV18"/>
  <sheetViews>
    <sheetView workbookViewId="0">
      <pane xSplit="1" ySplit="1" topLeftCell="B13" activePane="bottomRight" state="frozen"/>
      <selection pane="topRight" activeCell="B1" sqref="B1"/>
      <selection pane="bottomLeft" activeCell="A2" sqref="A2"/>
      <selection pane="bottomRight"/>
    </sheetView>
  </sheetViews>
  <sheetFormatPr defaultRowHeight="14.4" x14ac:dyDescent="0.3"/>
  <cols>
    <col min="2" max="18" width="7.77734375" customWidth="1"/>
  </cols>
  <sheetData>
    <row r="1" spans="1:256" x14ac:dyDescent="0.3">
      <c r="A1" t="s">
        <v>705</v>
      </c>
      <c r="B1" t="s">
        <v>693</v>
      </c>
      <c r="C1" t="s">
        <v>694</v>
      </c>
      <c r="D1" t="s">
        <v>685</v>
      </c>
      <c r="E1" t="s">
        <v>686</v>
      </c>
      <c r="F1" t="s">
        <v>687</v>
      </c>
      <c r="G1" t="s">
        <v>688</v>
      </c>
      <c r="H1" t="s">
        <v>689</v>
      </c>
      <c r="I1" t="s">
        <v>690</v>
      </c>
      <c r="J1" t="s">
        <v>691</v>
      </c>
      <c r="K1" t="s">
        <v>692</v>
      </c>
      <c r="L1" t="s">
        <v>695</v>
      </c>
      <c r="M1" t="s">
        <v>696</v>
      </c>
      <c r="N1" t="s">
        <v>697</v>
      </c>
      <c r="O1" t="s">
        <v>698</v>
      </c>
      <c r="P1" t="s">
        <v>699</v>
      </c>
      <c r="Q1" t="s">
        <v>700</v>
      </c>
      <c r="R1" t="s">
        <v>701</v>
      </c>
      <c r="IV1" t="s">
        <v>809</v>
      </c>
    </row>
    <row r="2" spans="1:256" x14ac:dyDescent="0.3">
      <c r="A2" s="1">
        <v>44980.701215277775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IV2">
        <v>0</v>
      </c>
    </row>
    <row r="3" spans="1:256" x14ac:dyDescent="0.3">
      <c r="A3" s="1">
        <v>44980.701226851852</v>
      </c>
      <c r="B3">
        <v>27.9</v>
      </c>
      <c r="C3">
        <v>27.9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IV3">
        <v>55.8</v>
      </c>
    </row>
    <row r="4" spans="1:256" x14ac:dyDescent="0.3">
      <c r="A4" s="1">
        <v>44980.701238425929</v>
      </c>
      <c r="B4">
        <v>199.8</v>
      </c>
      <c r="C4">
        <v>199.8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IV4">
        <v>399.6</v>
      </c>
    </row>
    <row r="5" spans="1:256" x14ac:dyDescent="0.3">
      <c r="A5" s="1">
        <v>44980.701249999998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IV5">
        <v>0</v>
      </c>
    </row>
    <row r="6" spans="1:256" x14ac:dyDescent="0.3">
      <c r="A6" s="1">
        <v>44980.701261574075</v>
      </c>
      <c r="B6">
        <v>2</v>
      </c>
      <c r="C6">
        <v>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IV6">
        <v>4</v>
      </c>
    </row>
    <row r="7" spans="1:256" x14ac:dyDescent="0.3">
      <c r="A7" s="1">
        <v>44980.701273148145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IV7">
        <v>0</v>
      </c>
    </row>
    <row r="8" spans="1:256" x14ac:dyDescent="0.3">
      <c r="A8" s="1">
        <v>44980.701284722221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IV8">
        <v>0</v>
      </c>
    </row>
    <row r="9" spans="1:256" x14ac:dyDescent="0.3">
      <c r="A9" s="1">
        <v>44980.701296296298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IV9">
        <v>0</v>
      </c>
    </row>
    <row r="10" spans="1:256" x14ac:dyDescent="0.3">
      <c r="A10" s="1">
        <v>44980.701307870368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IV10">
        <v>0</v>
      </c>
    </row>
    <row r="11" spans="1:256" x14ac:dyDescent="0.3">
      <c r="A11" s="1">
        <v>44980.701319444444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IV11">
        <v>0</v>
      </c>
    </row>
    <row r="13" spans="1:256" x14ac:dyDescent="0.3">
      <c r="A13" t="s">
        <v>804</v>
      </c>
      <c r="B13" s="9">
        <f>AVERAGE(B2:B11)</f>
        <v>22.970000000000002</v>
      </c>
      <c r="C13" s="9">
        <f>AVERAGE(C2:C11)</f>
        <v>22.970000000000002</v>
      </c>
      <c r="D13" s="9">
        <f>AVERAGE(D2:D11)</f>
        <v>0</v>
      </c>
      <c r="E13" s="9">
        <f>AVERAGE(E2:E11)</f>
        <v>0</v>
      </c>
      <c r="F13" s="9">
        <f>AVERAGE(F2:F11)</f>
        <v>0</v>
      </c>
      <c r="G13" s="9">
        <f>AVERAGE(G2:G11)</f>
        <v>0</v>
      </c>
      <c r="H13" s="9">
        <f>AVERAGE(H2:H11)</f>
        <v>0</v>
      </c>
      <c r="I13" s="9">
        <f>AVERAGE(I2:I11)</f>
        <v>0</v>
      </c>
      <c r="J13" s="9">
        <f>AVERAGE(J2:J11)</f>
        <v>0</v>
      </c>
      <c r="K13" s="9">
        <f>AVERAGE(K2:K11)</f>
        <v>0</v>
      </c>
      <c r="L13" s="9">
        <f>AVERAGE(L2:L11)</f>
        <v>0</v>
      </c>
      <c r="M13" s="9">
        <f>AVERAGE(M2:M11)</f>
        <v>0</v>
      </c>
      <c r="N13" s="9">
        <f>AVERAGE(N2:N11)</f>
        <v>0</v>
      </c>
      <c r="O13" s="9">
        <f>AVERAGE(O2:O11)</f>
        <v>0</v>
      </c>
      <c r="P13" s="9">
        <f>AVERAGE(P2:P11)</f>
        <v>0</v>
      </c>
      <c r="Q13" s="9">
        <f>AVERAGE(Q2:Q11)</f>
        <v>0</v>
      </c>
      <c r="R13" s="9">
        <f>AVERAGE(R2:R11)</f>
        <v>0</v>
      </c>
    </row>
    <row r="14" spans="1:256" x14ac:dyDescent="0.3">
      <c r="A14" t="s">
        <v>805</v>
      </c>
      <c r="B14" s="9">
        <f>IF(B13=0,0,MAX(SUMPRODUCT(B2:B11,B2:B11)/SUM(B2:B11)-B13,0))</f>
        <v>154.22830213321728</v>
      </c>
      <c r="C14" s="9">
        <f>IF(C13=0,0,MAX(SUMPRODUCT(C2:C11,C2:C11)/SUM(C2:C11)-C13,0))</f>
        <v>154.22830213321728</v>
      </c>
      <c r="D14" s="9">
        <f>IF(D13=0,0,MAX(SUMPRODUCT(D2:D11,D2:D11)/SUM(D2:D11)-D13,0))</f>
        <v>0</v>
      </c>
      <c r="E14" s="9">
        <f>IF(E13=0,0,MAX(SUMPRODUCT(E2:E11,E2:E11)/SUM(E2:E11)-E13,0))</f>
        <v>0</v>
      </c>
      <c r="F14" s="9">
        <f>IF(F13=0,0,MAX(SUMPRODUCT(F2:F11,F2:F11)/SUM(F2:F11)-F13,0))</f>
        <v>0</v>
      </c>
      <c r="G14" s="9">
        <f>IF(G13=0,0,MAX(SUMPRODUCT(G2:G11,G2:G11)/SUM(G2:G11)-G13,0))</f>
        <v>0</v>
      </c>
      <c r="H14" s="9">
        <f>IF(H13=0,0,MAX(SUMPRODUCT(H2:H11,H2:H11)/SUM(H2:H11)-H13,0))</f>
        <v>0</v>
      </c>
      <c r="I14" s="9">
        <f>IF(I13=0,0,MAX(SUMPRODUCT(I2:I11,I2:I11)/SUM(I2:I11)-I13,0))</f>
        <v>0</v>
      </c>
      <c r="J14" s="9">
        <f>IF(J13=0,0,MAX(SUMPRODUCT(J2:J11,J2:J11)/SUM(J2:J11)-J13,0))</f>
        <v>0</v>
      </c>
      <c r="K14" s="9">
        <f>IF(K13=0,0,MAX(SUMPRODUCT(K2:K11,K2:K11)/SUM(K2:K11)-K13,0))</f>
        <v>0</v>
      </c>
      <c r="L14" s="9">
        <f>IF(L13=0,0,MAX(SUMPRODUCT(L2:L11,L2:L11)/SUM(L2:L11)-L13,0))</f>
        <v>0</v>
      </c>
      <c r="M14" s="9">
        <f>IF(M13=0,0,MAX(SUMPRODUCT(M2:M11,M2:M11)/SUM(M2:M11)-M13,0))</f>
        <v>0</v>
      </c>
      <c r="N14" s="9">
        <f>IF(N13=0,0,MAX(SUMPRODUCT(N2:N11,N2:N11)/SUM(N2:N11)-N13,0))</f>
        <v>0</v>
      </c>
      <c r="O14" s="9">
        <f>IF(O13=0,0,MAX(SUMPRODUCT(O2:O11,O2:O11)/SUM(O2:O11)-O13,0))</f>
        <v>0</v>
      </c>
      <c r="P14" s="9">
        <f>IF(P13=0,0,MAX(SUMPRODUCT(P2:P11,P2:P11)/SUM(P2:P11)-P13,0))</f>
        <v>0</v>
      </c>
      <c r="Q14" s="9">
        <f>IF(Q13=0,0,MAX(SUMPRODUCT(Q2:Q11,Q2:Q11)/SUM(Q2:Q11)-Q13,0))</f>
        <v>0</v>
      </c>
      <c r="R14" s="9">
        <f>IF(R13=0,0,MAX(SUMPRODUCT(R2:R11,R2:R11)/SUM(R2:R11)-R13,0))</f>
        <v>0</v>
      </c>
    </row>
    <row r="15" spans="1:256" x14ac:dyDescent="0.3">
      <c r="A15" t="s">
        <v>806</v>
      </c>
      <c r="B15" s="9">
        <f>MAX(B2:B11)</f>
        <v>199.8</v>
      </c>
      <c r="C15" s="9">
        <f>MAX(C2:C11)</f>
        <v>199.8</v>
      </c>
      <c r="D15" s="9">
        <f>MAX(D2:D11)</f>
        <v>0</v>
      </c>
      <c r="E15" s="9">
        <f>MAX(E2:E11)</f>
        <v>0</v>
      </c>
      <c r="F15" s="9">
        <f>MAX(F2:F11)</f>
        <v>0</v>
      </c>
      <c r="G15" s="9">
        <f>MAX(G2:G11)</f>
        <v>0</v>
      </c>
      <c r="H15" s="9">
        <f>MAX(H2:H11)</f>
        <v>0</v>
      </c>
      <c r="I15" s="9">
        <f>MAX(I2:I11)</f>
        <v>0</v>
      </c>
      <c r="J15" s="9">
        <f>MAX(J2:J11)</f>
        <v>0</v>
      </c>
      <c r="K15" s="9">
        <f>MAX(K2:K11)</f>
        <v>0</v>
      </c>
      <c r="L15" s="9">
        <f>MAX(L2:L11)</f>
        <v>0</v>
      </c>
      <c r="M15" s="9">
        <f>MAX(M2:M11)</f>
        <v>0</v>
      </c>
      <c r="N15" s="9">
        <f>MAX(N2:N11)</f>
        <v>0</v>
      </c>
      <c r="O15" s="9">
        <f>MAX(O2:O11)</f>
        <v>0</v>
      </c>
      <c r="P15" s="9">
        <f>MAX(P2:P11)</f>
        <v>0</v>
      </c>
      <c r="Q15" s="9">
        <f>MAX(Q2:Q11)</f>
        <v>0</v>
      </c>
      <c r="R15" s="9">
        <f>MAX(R2:R11)</f>
        <v>0</v>
      </c>
    </row>
    <row r="16" spans="1:256" x14ac:dyDescent="0.3">
      <c r="A16" t="s">
        <v>807</v>
      </c>
      <c r="B16" s="9">
        <f>MIN(B2:B11)</f>
        <v>0</v>
      </c>
      <c r="C16" s="9">
        <f>MIN(C2:C11)</f>
        <v>0</v>
      </c>
      <c r="D16" s="9">
        <f>MIN(D2:D11)</f>
        <v>0</v>
      </c>
      <c r="E16" s="9">
        <f>MIN(E2:E11)</f>
        <v>0</v>
      </c>
      <c r="F16" s="9">
        <f>MIN(F2:F11)</f>
        <v>0</v>
      </c>
      <c r="G16" s="9">
        <f>MIN(G2:G11)</f>
        <v>0</v>
      </c>
      <c r="H16" s="9">
        <f>MIN(H2:H11)</f>
        <v>0</v>
      </c>
      <c r="I16" s="9">
        <f>MIN(I2:I11)</f>
        <v>0</v>
      </c>
      <c r="J16" s="9">
        <f>MIN(J2:J11)</f>
        <v>0</v>
      </c>
      <c r="K16" s="9">
        <f>MIN(K2:K11)</f>
        <v>0</v>
      </c>
      <c r="L16" s="9">
        <f>MIN(L2:L11)</f>
        <v>0</v>
      </c>
      <c r="M16" s="9">
        <f>MIN(M2:M11)</f>
        <v>0</v>
      </c>
      <c r="N16" s="9">
        <f>MIN(N2:N11)</f>
        <v>0</v>
      </c>
      <c r="O16" s="9">
        <f>MIN(O2:O11)</f>
        <v>0</v>
      </c>
      <c r="P16" s="9">
        <f>MIN(P2:P11)</f>
        <v>0</v>
      </c>
      <c r="Q16" s="9">
        <f>MIN(Q2:Q11)</f>
        <v>0</v>
      </c>
      <c r="R16" s="9">
        <f>MIN(R2:R11)</f>
        <v>0</v>
      </c>
    </row>
    <row r="17" spans="1:18" x14ac:dyDescent="0.3">
      <c r="A17" t="s">
        <v>808</v>
      </c>
      <c r="B17" s="9">
        <f>B13+ B14</f>
        <v>177.19830213321728</v>
      </c>
      <c r="C17" s="9">
        <f>C13+ C14</f>
        <v>177.19830213321728</v>
      </c>
      <c r="D17" s="9">
        <f>D13+ D14</f>
        <v>0</v>
      </c>
      <c r="E17" s="9">
        <f>E13+ E14</f>
        <v>0</v>
      </c>
      <c r="F17" s="9">
        <f>F13+ F14</f>
        <v>0</v>
      </c>
      <c r="G17" s="9">
        <f>G13+ G14</f>
        <v>0</v>
      </c>
      <c r="H17" s="9">
        <f>H13+ H14</f>
        <v>0</v>
      </c>
      <c r="I17" s="9">
        <f>I13+ I14</f>
        <v>0</v>
      </c>
      <c r="J17" s="9">
        <f>J13+ J14</f>
        <v>0</v>
      </c>
      <c r="K17" s="9">
        <f>K13+ K14</f>
        <v>0</v>
      </c>
      <c r="L17" s="9">
        <f>L13+ L14</f>
        <v>0</v>
      </c>
      <c r="M17" s="9">
        <f>M13+ M14</f>
        <v>0</v>
      </c>
      <c r="N17" s="9">
        <f>N13+ N14</f>
        <v>0</v>
      </c>
      <c r="O17" s="9">
        <f>O13+ O14</f>
        <v>0</v>
      </c>
      <c r="P17" s="9">
        <f>P13+ P14</f>
        <v>0</v>
      </c>
      <c r="Q17" s="9">
        <f>Q13+ Q14</f>
        <v>0</v>
      </c>
      <c r="R17" s="9">
        <f>R13+ R14</f>
        <v>0</v>
      </c>
    </row>
    <row r="18" spans="1:18" x14ac:dyDescent="0.3"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</row>
  </sheetData>
  <sortState xmlns:xlrd2="http://schemas.microsoft.com/office/spreadsheetml/2017/richdata2" columnSort="1" ref="B1:R17">
    <sortCondition descending="1" ref="B17"/>
  </sortState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A9184-9597-483E-A3C3-F47D62AA46D6}">
  <dimension ref="A1:O18"/>
  <sheetViews>
    <sheetView workbookViewId="0">
      <pane xSplit="1" ySplit="1" topLeftCell="B13" activePane="bottomRight" state="frozen"/>
      <selection pane="topRight" activeCell="B1" sqref="B1"/>
      <selection pane="bottomLeft" activeCell="A2" sqref="A2"/>
      <selection pane="bottomRight"/>
    </sheetView>
  </sheetViews>
  <sheetFormatPr defaultRowHeight="14.4" x14ac:dyDescent="0.3"/>
  <sheetData>
    <row r="1" spans="1:15" x14ac:dyDescent="0.3">
      <c r="A1" t="s">
        <v>706</v>
      </c>
      <c r="B1" t="s">
        <v>710</v>
      </c>
      <c r="C1" t="s">
        <v>711</v>
      </c>
      <c r="D1" t="s">
        <v>712</v>
      </c>
      <c r="E1" t="s">
        <v>713</v>
      </c>
      <c r="F1" t="s">
        <v>714</v>
      </c>
      <c r="G1" t="s">
        <v>715</v>
      </c>
      <c r="H1" t="s">
        <v>716</v>
      </c>
      <c r="I1" t="s">
        <v>717</v>
      </c>
      <c r="J1" t="s">
        <v>718</v>
      </c>
      <c r="K1" t="s">
        <v>719</v>
      </c>
      <c r="L1" t="s">
        <v>709</v>
      </c>
      <c r="M1" t="s">
        <v>720</v>
      </c>
      <c r="N1" t="s">
        <v>708</v>
      </c>
      <c r="O1" t="s">
        <v>707</v>
      </c>
    </row>
    <row r="2" spans="1:15" x14ac:dyDescent="0.3">
      <c r="A2" s="1">
        <v>44980.701215277775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100</v>
      </c>
      <c r="I2">
        <v>100</v>
      </c>
      <c r="J2">
        <v>100</v>
      </c>
      <c r="K2">
        <v>100</v>
      </c>
      <c r="L2">
        <v>23.9</v>
      </c>
      <c r="M2">
        <v>23.9</v>
      </c>
      <c r="N2">
        <v>0.2</v>
      </c>
      <c r="O2">
        <v>0</v>
      </c>
    </row>
    <row r="3" spans="1:15" x14ac:dyDescent="0.3">
      <c r="A3" s="1">
        <v>44980.701226851852</v>
      </c>
      <c r="B3">
        <v>100</v>
      </c>
      <c r="C3">
        <v>100</v>
      </c>
      <c r="D3">
        <v>100</v>
      </c>
      <c r="E3">
        <v>100</v>
      </c>
      <c r="F3">
        <v>100</v>
      </c>
      <c r="G3">
        <v>100</v>
      </c>
      <c r="H3">
        <v>100</v>
      </c>
      <c r="I3">
        <v>100</v>
      </c>
      <c r="J3">
        <v>100</v>
      </c>
      <c r="K3">
        <v>100</v>
      </c>
      <c r="L3">
        <v>23.9</v>
      </c>
      <c r="M3">
        <v>23.9</v>
      </c>
      <c r="N3">
        <v>0.2</v>
      </c>
      <c r="O3">
        <v>0</v>
      </c>
    </row>
    <row r="4" spans="1:15" x14ac:dyDescent="0.3">
      <c r="A4" s="1">
        <v>44980.701238425929</v>
      </c>
      <c r="B4">
        <v>100</v>
      </c>
      <c r="C4">
        <v>100</v>
      </c>
      <c r="D4">
        <v>100</v>
      </c>
      <c r="E4">
        <v>100</v>
      </c>
      <c r="F4">
        <v>100</v>
      </c>
      <c r="G4">
        <v>100</v>
      </c>
      <c r="H4">
        <v>100</v>
      </c>
      <c r="I4">
        <v>100</v>
      </c>
      <c r="J4">
        <v>100</v>
      </c>
      <c r="K4">
        <v>100</v>
      </c>
      <c r="L4">
        <v>23.9</v>
      </c>
      <c r="M4">
        <v>23.9</v>
      </c>
      <c r="N4">
        <v>0.2</v>
      </c>
      <c r="O4">
        <v>0</v>
      </c>
    </row>
    <row r="5" spans="1:15" x14ac:dyDescent="0.3">
      <c r="A5" s="1">
        <v>44980.701249999998</v>
      </c>
      <c r="B5">
        <v>100</v>
      </c>
      <c r="C5">
        <v>100</v>
      </c>
      <c r="D5">
        <v>100</v>
      </c>
      <c r="E5">
        <v>100</v>
      </c>
      <c r="F5">
        <v>100</v>
      </c>
      <c r="G5">
        <v>100</v>
      </c>
      <c r="H5">
        <v>100</v>
      </c>
      <c r="I5">
        <v>100</v>
      </c>
      <c r="J5">
        <v>100</v>
      </c>
      <c r="K5">
        <v>100</v>
      </c>
      <c r="L5">
        <v>23.9</v>
      </c>
      <c r="M5">
        <v>23.9</v>
      </c>
      <c r="N5">
        <v>0.2</v>
      </c>
      <c r="O5">
        <v>0</v>
      </c>
    </row>
    <row r="6" spans="1:15" x14ac:dyDescent="0.3">
      <c r="A6" s="1">
        <v>44980.701261574075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23.9</v>
      </c>
      <c r="M6">
        <v>23.9</v>
      </c>
      <c r="N6">
        <v>0.2</v>
      </c>
      <c r="O6">
        <v>0</v>
      </c>
    </row>
    <row r="7" spans="1:15" x14ac:dyDescent="0.3">
      <c r="A7" s="1">
        <v>44980.701273148145</v>
      </c>
      <c r="B7">
        <v>100</v>
      </c>
      <c r="C7">
        <v>100</v>
      </c>
      <c r="D7">
        <v>100</v>
      </c>
      <c r="E7">
        <v>100</v>
      </c>
      <c r="F7">
        <v>100</v>
      </c>
      <c r="G7">
        <v>100</v>
      </c>
      <c r="H7">
        <v>100</v>
      </c>
      <c r="I7">
        <v>100</v>
      </c>
      <c r="J7">
        <v>100</v>
      </c>
      <c r="K7">
        <v>100</v>
      </c>
      <c r="L7">
        <v>23.9</v>
      </c>
      <c r="M7">
        <v>23.9</v>
      </c>
      <c r="N7">
        <v>0.2</v>
      </c>
      <c r="O7">
        <v>0</v>
      </c>
    </row>
    <row r="8" spans="1:15" x14ac:dyDescent="0.3">
      <c r="A8" s="1">
        <v>44980.701284722221</v>
      </c>
      <c r="B8">
        <v>100</v>
      </c>
      <c r="C8">
        <v>100</v>
      </c>
      <c r="D8">
        <v>100</v>
      </c>
      <c r="E8">
        <v>100</v>
      </c>
      <c r="F8">
        <v>100</v>
      </c>
      <c r="G8">
        <v>100</v>
      </c>
      <c r="H8">
        <v>100</v>
      </c>
      <c r="I8">
        <v>100</v>
      </c>
      <c r="J8">
        <v>100</v>
      </c>
      <c r="K8">
        <v>100</v>
      </c>
      <c r="L8">
        <v>23.9</v>
      </c>
      <c r="M8">
        <v>23.9</v>
      </c>
      <c r="N8">
        <v>0.2</v>
      </c>
      <c r="O8">
        <v>0</v>
      </c>
    </row>
    <row r="9" spans="1:15" x14ac:dyDescent="0.3">
      <c r="A9" s="1">
        <v>44980.701296296298</v>
      </c>
      <c r="B9">
        <v>100</v>
      </c>
      <c r="C9">
        <v>100</v>
      </c>
      <c r="D9">
        <v>100</v>
      </c>
      <c r="E9">
        <v>100</v>
      </c>
      <c r="F9">
        <v>100</v>
      </c>
      <c r="G9">
        <v>100</v>
      </c>
      <c r="H9">
        <v>100</v>
      </c>
      <c r="I9">
        <v>100</v>
      </c>
      <c r="J9">
        <v>100</v>
      </c>
      <c r="K9">
        <v>100</v>
      </c>
      <c r="L9">
        <v>23.9</v>
      </c>
      <c r="M9">
        <v>23.9</v>
      </c>
      <c r="N9">
        <v>0.2</v>
      </c>
      <c r="O9">
        <v>0</v>
      </c>
    </row>
    <row r="10" spans="1:15" x14ac:dyDescent="0.3">
      <c r="A10" s="1">
        <v>44980.701307870368</v>
      </c>
      <c r="B10">
        <v>100</v>
      </c>
      <c r="C10">
        <v>100</v>
      </c>
      <c r="D10">
        <v>100</v>
      </c>
      <c r="E10">
        <v>100</v>
      </c>
      <c r="F10">
        <v>100</v>
      </c>
      <c r="G10">
        <v>100</v>
      </c>
      <c r="H10">
        <v>100</v>
      </c>
      <c r="I10">
        <v>100</v>
      </c>
      <c r="J10">
        <v>100</v>
      </c>
      <c r="K10">
        <v>100</v>
      </c>
      <c r="L10">
        <v>23.9</v>
      </c>
      <c r="M10">
        <v>23.9</v>
      </c>
      <c r="N10">
        <v>0.2</v>
      </c>
      <c r="O10">
        <v>0</v>
      </c>
    </row>
    <row r="11" spans="1:15" x14ac:dyDescent="0.3">
      <c r="A11" s="1">
        <v>44980.701319444444</v>
      </c>
      <c r="B11">
        <v>100</v>
      </c>
      <c r="C11">
        <v>100</v>
      </c>
      <c r="D11">
        <v>100</v>
      </c>
      <c r="E11">
        <v>100</v>
      </c>
      <c r="F11">
        <v>100</v>
      </c>
      <c r="G11">
        <v>100</v>
      </c>
      <c r="H11">
        <v>100</v>
      </c>
      <c r="I11">
        <v>100</v>
      </c>
      <c r="J11">
        <v>100</v>
      </c>
      <c r="K11">
        <v>100</v>
      </c>
      <c r="L11">
        <v>23.9</v>
      </c>
      <c r="M11">
        <v>23.9</v>
      </c>
      <c r="N11">
        <v>0.2</v>
      </c>
      <c r="O11">
        <v>0</v>
      </c>
    </row>
    <row r="13" spans="1:15" x14ac:dyDescent="0.3">
      <c r="A13" t="s">
        <v>804</v>
      </c>
      <c r="B13" s="9">
        <f>AVERAGE(B2:B11)</f>
        <v>100</v>
      </c>
      <c r="C13" s="9">
        <f>AVERAGE(C2:C11)</f>
        <v>100</v>
      </c>
      <c r="D13" s="9">
        <f>AVERAGE(D2:D11)</f>
        <v>100</v>
      </c>
      <c r="E13" s="9">
        <f>AVERAGE(E2:E11)</f>
        <v>100</v>
      </c>
      <c r="F13" s="9">
        <f>AVERAGE(F2:F11)</f>
        <v>100</v>
      </c>
      <c r="G13" s="9">
        <f>AVERAGE(G2:G11)</f>
        <v>100</v>
      </c>
      <c r="H13" s="9">
        <f>AVERAGE(H2:H11)</f>
        <v>100</v>
      </c>
      <c r="I13" s="9">
        <f>AVERAGE(I2:I11)</f>
        <v>100</v>
      </c>
      <c r="J13" s="9">
        <f>AVERAGE(J2:J11)</f>
        <v>100</v>
      </c>
      <c r="K13" s="9">
        <f>AVERAGE(K2:K11)</f>
        <v>100</v>
      </c>
      <c r="L13" s="9">
        <f>AVERAGE(L2:L11)</f>
        <v>23.900000000000002</v>
      </c>
      <c r="M13" s="9">
        <f>AVERAGE(M2:M11)</f>
        <v>23.900000000000002</v>
      </c>
      <c r="N13" s="9">
        <f>AVERAGE(N2:N11)</f>
        <v>0.19999999999999998</v>
      </c>
      <c r="O13" s="9">
        <f>AVERAGE(O2:O11)</f>
        <v>0</v>
      </c>
    </row>
    <row r="14" spans="1:15" x14ac:dyDescent="0.3">
      <c r="A14" t="s">
        <v>805</v>
      </c>
      <c r="B14" s="9">
        <f>IF(B13=0,0,MAX(SUMPRODUCT(B2:B11,B2:B11)/SUM(B2:B11)-B13,0))</f>
        <v>0</v>
      </c>
      <c r="C14" s="9">
        <f>IF(C13=0,0,MAX(SUMPRODUCT(C2:C11,C2:C11)/SUM(C2:C11)-C13,0))</f>
        <v>0</v>
      </c>
      <c r="D14" s="9">
        <f>IF(D13=0,0,MAX(SUMPRODUCT(D2:D11,D2:D11)/SUM(D2:D11)-D13,0))</f>
        <v>0</v>
      </c>
      <c r="E14" s="9">
        <f>IF(E13=0,0,MAX(SUMPRODUCT(E2:E11,E2:E11)/SUM(E2:E11)-E13,0))</f>
        <v>0</v>
      </c>
      <c r="F14" s="9">
        <f>IF(F13=0,0,MAX(SUMPRODUCT(F2:F11,F2:F11)/SUM(F2:F11)-F13,0))</f>
        <v>0</v>
      </c>
      <c r="G14" s="9">
        <f>IF(G13=0,0,MAX(SUMPRODUCT(G2:G11,G2:G11)/SUM(G2:G11)-G13,0))</f>
        <v>0</v>
      </c>
      <c r="H14" s="9">
        <f>IF(H13=0,0,MAX(SUMPRODUCT(H2:H11,H2:H11)/SUM(H2:H11)-H13,0))</f>
        <v>0</v>
      </c>
      <c r="I14" s="9">
        <f>IF(I13=0,0,MAX(SUMPRODUCT(I2:I11,I2:I11)/SUM(I2:I11)-I13,0))</f>
        <v>0</v>
      </c>
      <c r="J14" s="9">
        <f>IF(J13=0,0,MAX(SUMPRODUCT(J2:J11,J2:J11)/SUM(J2:J11)-J13,0))</f>
        <v>0</v>
      </c>
      <c r="K14" s="9">
        <f>IF(K13=0,0,MAX(SUMPRODUCT(K2:K11,K2:K11)/SUM(K2:K11)-K13,0))</f>
        <v>0</v>
      </c>
      <c r="L14" s="9">
        <f>IF(L13=0,0,MAX(SUMPRODUCT(L2:L11,L2:L11)/SUM(L2:L11)-L13,0))</f>
        <v>0</v>
      </c>
      <c r="M14" s="9">
        <f>IF(M13=0,0,MAX(SUMPRODUCT(M2:M11,M2:M11)/SUM(M2:M11)-M13,0))</f>
        <v>0</v>
      </c>
      <c r="N14" s="9">
        <f>IF(N13=0,0,MAX(SUMPRODUCT(N2:N11,N2:N11)/SUM(N2:N11)-N13,0))</f>
        <v>1.1102230246251565E-16</v>
      </c>
      <c r="O14" s="9">
        <f>IF(O13=0,0,MAX(SUMPRODUCT(O2:O11,O2:O11)/SUM(O2:O11)-O13,0))</f>
        <v>0</v>
      </c>
    </row>
    <row r="15" spans="1:15" x14ac:dyDescent="0.3">
      <c r="A15" t="s">
        <v>806</v>
      </c>
      <c r="B15" s="9">
        <f>MAX(B2:B11)</f>
        <v>100</v>
      </c>
      <c r="C15" s="9">
        <f>MAX(C2:C11)</f>
        <v>100</v>
      </c>
      <c r="D15" s="9">
        <f>MAX(D2:D11)</f>
        <v>100</v>
      </c>
      <c r="E15" s="9">
        <f>MAX(E2:E11)</f>
        <v>100</v>
      </c>
      <c r="F15" s="9">
        <f>MAX(F2:F11)</f>
        <v>100</v>
      </c>
      <c r="G15" s="9">
        <f>MAX(G2:G11)</f>
        <v>100</v>
      </c>
      <c r="H15" s="9">
        <f>MAX(H2:H11)</f>
        <v>100</v>
      </c>
      <c r="I15" s="9">
        <f>MAX(I2:I11)</f>
        <v>100</v>
      </c>
      <c r="J15" s="9">
        <f>MAX(J2:J11)</f>
        <v>100</v>
      </c>
      <c r="K15" s="9">
        <f>MAX(K2:K11)</f>
        <v>100</v>
      </c>
      <c r="L15" s="9">
        <f>MAX(L2:L11)</f>
        <v>23.9</v>
      </c>
      <c r="M15" s="9">
        <f>MAX(M2:M11)</f>
        <v>23.9</v>
      </c>
      <c r="N15" s="9">
        <f>MAX(N2:N11)</f>
        <v>0.2</v>
      </c>
      <c r="O15" s="9">
        <f>MAX(O2:O11)</f>
        <v>0</v>
      </c>
    </row>
    <row r="16" spans="1:15" x14ac:dyDescent="0.3">
      <c r="A16" t="s">
        <v>807</v>
      </c>
      <c r="B16" s="9">
        <f>MIN(B2:B11)</f>
        <v>100</v>
      </c>
      <c r="C16" s="9">
        <f>MIN(C2:C11)</f>
        <v>100</v>
      </c>
      <c r="D16" s="9">
        <f>MIN(D2:D11)</f>
        <v>100</v>
      </c>
      <c r="E16" s="9">
        <f>MIN(E2:E11)</f>
        <v>100</v>
      </c>
      <c r="F16" s="9">
        <f>MIN(F2:F11)</f>
        <v>100</v>
      </c>
      <c r="G16" s="9">
        <f>MIN(G2:G11)</f>
        <v>100</v>
      </c>
      <c r="H16" s="9">
        <f>MIN(H2:H11)</f>
        <v>100</v>
      </c>
      <c r="I16" s="9">
        <f>MIN(I2:I11)</f>
        <v>100</v>
      </c>
      <c r="J16" s="9">
        <f>MIN(J2:J11)</f>
        <v>100</v>
      </c>
      <c r="K16" s="9">
        <f>MIN(K2:K11)</f>
        <v>100</v>
      </c>
      <c r="L16" s="9">
        <f>MIN(L2:L11)</f>
        <v>23.9</v>
      </c>
      <c r="M16" s="9">
        <f>MIN(M2:M11)</f>
        <v>23.9</v>
      </c>
      <c r="N16" s="9">
        <f>MIN(N2:N11)</f>
        <v>0.2</v>
      </c>
      <c r="O16" s="9">
        <f>MIN(O2:O11)</f>
        <v>0</v>
      </c>
    </row>
    <row r="17" spans="1:15" x14ac:dyDescent="0.3">
      <c r="A17" t="s">
        <v>808</v>
      </c>
      <c r="B17" s="9">
        <f>B13+ B14</f>
        <v>100</v>
      </c>
      <c r="C17" s="9">
        <f>C13+ C14</f>
        <v>100</v>
      </c>
      <c r="D17" s="9">
        <f>D13+ D14</f>
        <v>100</v>
      </c>
      <c r="E17" s="9">
        <f>E13+ E14</f>
        <v>100</v>
      </c>
      <c r="F17" s="9">
        <f>F13+ F14</f>
        <v>100</v>
      </c>
      <c r="G17" s="9">
        <f>G13+ G14</f>
        <v>100</v>
      </c>
      <c r="H17" s="9">
        <f>H13+ H14</f>
        <v>100</v>
      </c>
      <c r="I17" s="9">
        <f>I13+ I14</f>
        <v>100</v>
      </c>
      <c r="J17" s="9">
        <f>J13+ J14</f>
        <v>100</v>
      </c>
      <c r="K17" s="9">
        <f>K13+ K14</f>
        <v>100</v>
      </c>
      <c r="L17" s="9">
        <f>L13+ L14</f>
        <v>23.900000000000002</v>
      </c>
      <c r="M17" s="9">
        <f>M13+ M14</f>
        <v>23.900000000000002</v>
      </c>
      <c r="N17" s="9">
        <f>N13+ N14</f>
        <v>0.20000000000000009</v>
      </c>
      <c r="O17" s="9">
        <f>O13+ O14</f>
        <v>0</v>
      </c>
    </row>
    <row r="18" spans="1:15" x14ac:dyDescent="0.3"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</sheetData>
  <sortState xmlns:xlrd2="http://schemas.microsoft.com/office/spreadsheetml/2017/richdata2" columnSort="1" ref="B1:O17">
    <sortCondition descending="1" ref="B17"/>
  </sortState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A74F8-11FD-4FD7-87BC-1EEA773319F0}">
  <dimension ref="A1:P11"/>
  <sheetViews>
    <sheetView workbookViewId="0">
      <pane xSplit="1" ySplit="1" topLeftCell="B13" activePane="bottomRight" state="frozen"/>
      <selection pane="topRight" activeCell="B1" sqref="B1"/>
      <selection pane="bottomLeft" activeCell="A2" sqref="A2"/>
      <selection pane="bottomRight"/>
    </sheetView>
  </sheetViews>
  <sheetFormatPr defaultRowHeight="14.4" x14ac:dyDescent="0.3"/>
  <cols>
    <col min="2" max="2" width="9" bestFit="1" customWidth="1"/>
    <col min="3" max="3" width="8.21875" bestFit="1" customWidth="1"/>
    <col min="4" max="4" width="7.88671875" bestFit="1" customWidth="1"/>
    <col min="5" max="5" width="9.109375" bestFit="1" customWidth="1"/>
    <col min="6" max="6" width="8.44140625" bestFit="1" customWidth="1"/>
    <col min="7" max="7" width="7.6640625" bestFit="1" customWidth="1"/>
    <col min="8" max="8" width="7.33203125" bestFit="1" customWidth="1"/>
    <col min="9" max="9" width="8.5546875" bestFit="1" customWidth="1"/>
    <col min="10" max="10" width="10.5546875" bestFit="1" customWidth="1"/>
    <col min="11" max="11" width="6.77734375" bestFit="1" customWidth="1"/>
    <col min="12" max="12" width="5.88671875" bestFit="1" customWidth="1"/>
    <col min="13" max="13" width="6.6640625" bestFit="1" customWidth="1"/>
    <col min="14" max="14" width="6.77734375" bestFit="1" customWidth="1"/>
    <col min="15" max="15" width="11" bestFit="1" customWidth="1"/>
  </cols>
  <sheetData>
    <row r="1" spans="1:16" x14ac:dyDescent="0.3">
      <c r="A1" t="s">
        <v>721</v>
      </c>
      <c r="B1" t="s">
        <v>722</v>
      </c>
      <c r="C1" t="s">
        <v>723</v>
      </c>
      <c r="D1" t="s">
        <v>724</v>
      </c>
      <c r="E1" t="s">
        <v>725</v>
      </c>
      <c r="F1" t="s">
        <v>726</v>
      </c>
      <c r="G1" t="s">
        <v>727</v>
      </c>
      <c r="H1" t="s">
        <v>728</v>
      </c>
      <c r="I1" t="s">
        <v>729</v>
      </c>
      <c r="J1" t="s">
        <v>730</v>
      </c>
      <c r="K1" t="s">
        <v>731</v>
      </c>
      <c r="L1" t="s">
        <v>732</v>
      </c>
      <c r="M1" t="s">
        <v>733</v>
      </c>
      <c r="N1" t="s">
        <v>734</v>
      </c>
      <c r="O1" t="s">
        <v>735</v>
      </c>
      <c r="P1" t="s">
        <v>736</v>
      </c>
    </row>
    <row r="2" spans="1:16" x14ac:dyDescent="0.3">
      <c r="A2" s="1">
        <v>44980.701215277775</v>
      </c>
      <c r="B2">
        <v>7948.5</v>
      </c>
      <c r="C2">
        <v>0</v>
      </c>
      <c r="D2">
        <v>0</v>
      </c>
      <c r="E2">
        <v>0</v>
      </c>
      <c r="F2">
        <v>6532.1</v>
      </c>
      <c r="G2">
        <v>0</v>
      </c>
      <c r="H2">
        <v>0</v>
      </c>
      <c r="I2">
        <v>0</v>
      </c>
      <c r="J2">
        <v>21.4</v>
      </c>
      <c r="K2">
        <v>479</v>
      </c>
      <c r="L2">
        <v>320.10000000000002</v>
      </c>
      <c r="M2">
        <v>-1</v>
      </c>
      <c r="N2">
        <v>51.2</v>
      </c>
      <c r="O2">
        <v>0</v>
      </c>
      <c r="P2">
        <v>797.5</v>
      </c>
    </row>
    <row r="3" spans="1:16" x14ac:dyDescent="0.3">
      <c r="A3" s="1">
        <v>44980.701226851852</v>
      </c>
      <c r="B3">
        <v>7948.5</v>
      </c>
      <c r="C3">
        <v>0</v>
      </c>
      <c r="D3">
        <v>0</v>
      </c>
      <c r="E3">
        <v>0</v>
      </c>
      <c r="F3">
        <v>6532.1</v>
      </c>
      <c r="G3">
        <v>0</v>
      </c>
      <c r="H3">
        <v>0</v>
      </c>
      <c r="I3">
        <v>0</v>
      </c>
      <c r="J3">
        <v>21.4</v>
      </c>
      <c r="K3">
        <v>479</v>
      </c>
      <c r="L3">
        <v>320.10000000000002</v>
      </c>
      <c r="M3">
        <v>-1</v>
      </c>
      <c r="N3">
        <v>51.2</v>
      </c>
      <c r="O3">
        <v>0</v>
      </c>
      <c r="P3">
        <v>797.5</v>
      </c>
    </row>
    <row r="4" spans="1:16" x14ac:dyDescent="0.3">
      <c r="A4" s="1">
        <v>44980.701238425929</v>
      </c>
      <c r="B4">
        <v>7948.5</v>
      </c>
      <c r="C4">
        <v>0</v>
      </c>
      <c r="D4">
        <v>0</v>
      </c>
      <c r="E4">
        <v>0</v>
      </c>
      <c r="F4">
        <v>6514.3</v>
      </c>
      <c r="G4">
        <v>0</v>
      </c>
      <c r="H4">
        <v>0</v>
      </c>
      <c r="I4">
        <v>0</v>
      </c>
      <c r="J4">
        <v>21.4</v>
      </c>
      <c r="K4">
        <v>479</v>
      </c>
      <c r="L4">
        <v>320.10000000000002</v>
      </c>
      <c r="M4">
        <v>-1</v>
      </c>
      <c r="N4">
        <v>51.2</v>
      </c>
      <c r="O4">
        <v>0</v>
      </c>
      <c r="P4">
        <v>852.6</v>
      </c>
    </row>
    <row r="5" spans="1:16" x14ac:dyDescent="0.3">
      <c r="A5" s="1">
        <v>44980.701249999998</v>
      </c>
      <c r="B5">
        <v>7948.5</v>
      </c>
      <c r="C5">
        <v>0</v>
      </c>
      <c r="D5">
        <v>0</v>
      </c>
      <c r="E5">
        <v>0</v>
      </c>
      <c r="F5">
        <v>5854.5</v>
      </c>
      <c r="G5">
        <v>0</v>
      </c>
      <c r="H5">
        <v>0</v>
      </c>
      <c r="I5">
        <v>0</v>
      </c>
      <c r="J5">
        <v>21.4</v>
      </c>
      <c r="K5">
        <v>479</v>
      </c>
      <c r="L5">
        <v>320.7</v>
      </c>
      <c r="M5">
        <v>-1</v>
      </c>
      <c r="N5">
        <v>51.2</v>
      </c>
      <c r="O5">
        <v>0</v>
      </c>
      <c r="P5">
        <v>1497.6</v>
      </c>
    </row>
    <row r="6" spans="1:16" x14ac:dyDescent="0.3">
      <c r="A6" s="1">
        <v>44980.701261574075</v>
      </c>
      <c r="B6">
        <v>7948.5</v>
      </c>
      <c r="C6">
        <v>0</v>
      </c>
      <c r="D6">
        <v>0</v>
      </c>
      <c r="E6">
        <v>0</v>
      </c>
      <c r="F6">
        <v>5280.9</v>
      </c>
      <c r="G6">
        <v>0</v>
      </c>
      <c r="H6">
        <v>0</v>
      </c>
      <c r="I6">
        <v>0</v>
      </c>
      <c r="J6">
        <v>21.4</v>
      </c>
      <c r="K6">
        <v>479</v>
      </c>
      <c r="L6">
        <v>320.89999999999998</v>
      </c>
      <c r="M6">
        <v>-1</v>
      </c>
      <c r="N6">
        <v>51.2</v>
      </c>
      <c r="O6">
        <v>0</v>
      </c>
      <c r="P6">
        <v>2066.5</v>
      </c>
    </row>
    <row r="7" spans="1:16" x14ac:dyDescent="0.3">
      <c r="A7" s="1">
        <v>44980.701273148145</v>
      </c>
      <c r="B7">
        <v>7948.5</v>
      </c>
      <c r="C7">
        <v>0</v>
      </c>
      <c r="D7">
        <v>0</v>
      </c>
      <c r="E7">
        <v>0</v>
      </c>
      <c r="F7">
        <v>4756</v>
      </c>
      <c r="G7">
        <v>0</v>
      </c>
      <c r="H7">
        <v>0</v>
      </c>
      <c r="I7">
        <v>0</v>
      </c>
      <c r="J7">
        <v>21.4</v>
      </c>
      <c r="K7">
        <v>479</v>
      </c>
      <c r="L7">
        <v>320.89999999999998</v>
      </c>
      <c r="M7">
        <v>-1</v>
      </c>
      <c r="N7">
        <v>51.2</v>
      </c>
      <c r="O7">
        <v>0</v>
      </c>
      <c r="P7">
        <v>2587.6999999999998</v>
      </c>
    </row>
    <row r="8" spans="1:16" x14ac:dyDescent="0.3">
      <c r="A8" s="1">
        <v>44980.701284722221</v>
      </c>
      <c r="B8">
        <v>7948.5</v>
      </c>
      <c r="C8">
        <v>0</v>
      </c>
      <c r="D8">
        <v>0</v>
      </c>
      <c r="E8">
        <v>0</v>
      </c>
      <c r="F8">
        <v>4192.2</v>
      </c>
      <c r="G8">
        <v>0</v>
      </c>
      <c r="H8">
        <v>0</v>
      </c>
      <c r="I8">
        <v>0</v>
      </c>
      <c r="J8">
        <v>21.4</v>
      </c>
      <c r="K8">
        <v>479</v>
      </c>
      <c r="L8">
        <v>320.89999999999998</v>
      </c>
      <c r="M8">
        <v>-1</v>
      </c>
      <c r="N8">
        <v>51.2</v>
      </c>
      <c r="O8">
        <v>0</v>
      </c>
      <c r="P8">
        <v>3149.5</v>
      </c>
    </row>
    <row r="9" spans="1:16" x14ac:dyDescent="0.3">
      <c r="A9" s="1">
        <v>44980.701296296298</v>
      </c>
      <c r="B9">
        <v>7948.5</v>
      </c>
      <c r="C9">
        <v>0</v>
      </c>
      <c r="D9">
        <v>0</v>
      </c>
      <c r="E9">
        <v>0</v>
      </c>
      <c r="F9">
        <v>3843.1</v>
      </c>
      <c r="G9">
        <v>0</v>
      </c>
      <c r="H9">
        <v>0</v>
      </c>
      <c r="I9">
        <v>0</v>
      </c>
      <c r="J9">
        <v>21.4</v>
      </c>
      <c r="K9">
        <v>479</v>
      </c>
      <c r="L9">
        <v>320.89999999999998</v>
      </c>
      <c r="M9">
        <v>-1</v>
      </c>
      <c r="N9">
        <v>51.2</v>
      </c>
      <c r="O9">
        <v>0</v>
      </c>
      <c r="P9">
        <v>3491</v>
      </c>
    </row>
    <row r="10" spans="1:16" x14ac:dyDescent="0.3">
      <c r="A10" s="1">
        <v>44980.701307870368</v>
      </c>
      <c r="B10">
        <v>7948.5</v>
      </c>
      <c r="C10">
        <v>0</v>
      </c>
      <c r="D10">
        <v>0</v>
      </c>
      <c r="E10">
        <v>0</v>
      </c>
      <c r="F10">
        <v>6541.1</v>
      </c>
      <c r="G10">
        <v>0</v>
      </c>
      <c r="H10">
        <v>0</v>
      </c>
      <c r="I10">
        <v>0</v>
      </c>
      <c r="J10">
        <v>21.4</v>
      </c>
      <c r="K10">
        <v>479</v>
      </c>
      <c r="L10">
        <v>320.10000000000002</v>
      </c>
      <c r="M10">
        <v>-1</v>
      </c>
      <c r="N10">
        <v>51.2</v>
      </c>
      <c r="O10">
        <v>0</v>
      </c>
      <c r="P10">
        <v>811.2</v>
      </c>
    </row>
    <row r="11" spans="1:16" x14ac:dyDescent="0.3">
      <c r="A11" s="1">
        <v>44980.701319444444</v>
      </c>
      <c r="B11">
        <v>7948.5</v>
      </c>
      <c r="C11">
        <v>0</v>
      </c>
      <c r="D11">
        <v>0</v>
      </c>
      <c r="E11">
        <v>0</v>
      </c>
      <c r="F11">
        <v>6541.1</v>
      </c>
      <c r="G11">
        <v>0</v>
      </c>
      <c r="H11">
        <v>0</v>
      </c>
      <c r="I11">
        <v>0</v>
      </c>
      <c r="J11">
        <v>21.4</v>
      </c>
      <c r="K11">
        <v>479</v>
      </c>
      <c r="L11">
        <v>320.10000000000002</v>
      </c>
      <c r="M11">
        <v>-1</v>
      </c>
      <c r="N11">
        <v>51.2</v>
      </c>
      <c r="O11">
        <v>0</v>
      </c>
      <c r="P11">
        <v>811.2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57945-DAB8-4FEA-9FFA-4A6D8245966E}">
  <dimension ref="A1:O18"/>
  <sheetViews>
    <sheetView workbookViewId="0">
      <pane xSplit="1" ySplit="1" topLeftCell="B13" activePane="bottomRight" state="frozen"/>
      <selection pane="topRight" activeCell="B1" sqref="B1"/>
      <selection pane="bottomLeft" activeCell="A2" sqref="A2"/>
      <selection pane="bottomRight"/>
    </sheetView>
  </sheetViews>
  <sheetFormatPr defaultRowHeight="14.4" x14ac:dyDescent="0.3"/>
  <sheetData>
    <row r="1" spans="1:15" x14ac:dyDescent="0.3">
      <c r="A1" t="s">
        <v>814</v>
      </c>
      <c r="B1" t="s">
        <v>815</v>
      </c>
      <c r="C1" t="s">
        <v>818</v>
      </c>
      <c r="D1" t="s">
        <v>821</v>
      </c>
      <c r="E1" t="s">
        <v>824</v>
      </c>
      <c r="F1" t="s">
        <v>816</v>
      </c>
      <c r="G1" t="s">
        <v>819</v>
      </c>
      <c r="H1" t="s">
        <v>822</v>
      </c>
      <c r="I1" t="s">
        <v>825</v>
      </c>
      <c r="J1" t="s">
        <v>817</v>
      </c>
      <c r="K1" t="s">
        <v>820</v>
      </c>
      <c r="L1" t="s">
        <v>823</v>
      </c>
      <c r="M1" t="s">
        <v>826</v>
      </c>
      <c r="N1" t="s">
        <v>827</v>
      </c>
      <c r="O1" t="s">
        <v>828</v>
      </c>
    </row>
    <row r="2" spans="1:15" x14ac:dyDescent="0.3">
      <c r="A2" s="1">
        <v>44980.701215277775</v>
      </c>
      <c r="B2">
        <v>117.1</v>
      </c>
      <c r="C2">
        <v>3.7</v>
      </c>
      <c r="D2">
        <v>0</v>
      </c>
      <c r="E2">
        <v>0</v>
      </c>
      <c r="F2">
        <v>117.1</v>
      </c>
      <c r="G2">
        <v>54.6</v>
      </c>
      <c r="H2">
        <v>0</v>
      </c>
      <c r="I2">
        <v>0</v>
      </c>
      <c r="J2">
        <v>234.2</v>
      </c>
      <c r="K2">
        <v>58.300000000000004</v>
      </c>
      <c r="L2">
        <v>0</v>
      </c>
      <c r="M2">
        <v>0</v>
      </c>
      <c r="N2">
        <v>120.8</v>
      </c>
      <c r="O2">
        <v>-171.7</v>
      </c>
    </row>
    <row r="3" spans="1:15" x14ac:dyDescent="0.3">
      <c r="A3" s="1">
        <v>44980.701226851852</v>
      </c>
      <c r="B3">
        <v>0.1</v>
      </c>
      <c r="C3">
        <v>0.2</v>
      </c>
      <c r="D3">
        <v>0</v>
      </c>
      <c r="E3">
        <v>0</v>
      </c>
      <c r="F3">
        <v>0.1</v>
      </c>
      <c r="G3">
        <v>0.1</v>
      </c>
      <c r="H3">
        <v>0</v>
      </c>
      <c r="I3">
        <v>0</v>
      </c>
      <c r="J3">
        <v>0.2</v>
      </c>
      <c r="K3">
        <v>0.30000000000000004</v>
      </c>
      <c r="L3">
        <v>0</v>
      </c>
      <c r="M3">
        <v>0</v>
      </c>
      <c r="N3">
        <v>0.30000000000000004</v>
      </c>
      <c r="O3">
        <v>-0.2</v>
      </c>
    </row>
    <row r="4" spans="1:15" x14ac:dyDescent="0.3">
      <c r="A4" s="1">
        <v>44980.701238425929</v>
      </c>
      <c r="B4">
        <v>0.7</v>
      </c>
      <c r="C4">
        <v>0.7</v>
      </c>
      <c r="D4">
        <v>0</v>
      </c>
      <c r="E4">
        <v>0</v>
      </c>
      <c r="F4">
        <v>0.7</v>
      </c>
      <c r="G4">
        <v>0.4</v>
      </c>
      <c r="H4">
        <v>0</v>
      </c>
      <c r="I4">
        <v>0</v>
      </c>
      <c r="J4">
        <v>1.4</v>
      </c>
      <c r="K4">
        <v>1.1000000000000001</v>
      </c>
      <c r="L4">
        <v>0</v>
      </c>
      <c r="M4">
        <v>0</v>
      </c>
      <c r="N4">
        <v>1.4</v>
      </c>
      <c r="O4">
        <v>-1.1000000000000001</v>
      </c>
    </row>
    <row r="5" spans="1:15" x14ac:dyDescent="0.3">
      <c r="A5" s="1">
        <v>44980.701249999998</v>
      </c>
      <c r="B5">
        <v>0</v>
      </c>
      <c r="C5">
        <v>0.4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0.4</v>
      </c>
      <c r="L5">
        <v>0</v>
      </c>
      <c r="M5">
        <v>0</v>
      </c>
      <c r="N5">
        <v>0.4</v>
      </c>
      <c r="O5">
        <v>0</v>
      </c>
    </row>
    <row r="6" spans="1:15" x14ac:dyDescent="0.3">
      <c r="A6" s="1">
        <v>44980.701261574075</v>
      </c>
      <c r="B6">
        <v>0</v>
      </c>
      <c r="C6">
        <v>0.5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0.5</v>
      </c>
      <c r="L6">
        <v>0</v>
      </c>
      <c r="M6">
        <v>0</v>
      </c>
      <c r="N6">
        <v>0.5</v>
      </c>
      <c r="O6">
        <v>0</v>
      </c>
    </row>
    <row r="7" spans="1:15" x14ac:dyDescent="0.3">
      <c r="A7" s="1">
        <v>44980.701273148145</v>
      </c>
      <c r="B7">
        <v>26.2</v>
      </c>
      <c r="C7">
        <v>0.8</v>
      </c>
      <c r="D7">
        <v>0</v>
      </c>
      <c r="E7">
        <v>0</v>
      </c>
      <c r="F7">
        <v>26.2</v>
      </c>
      <c r="G7">
        <v>12.9</v>
      </c>
      <c r="H7">
        <v>0</v>
      </c>
      <c r="I7">
        <v>0</v>
      </c>
      <c r="J7">
        <v>52.4</v>
      </c>
      <c r="K7">
        <v>13.700000000000001</v>
      </c>
      <c r="L7">
        <v>0</v>
      </c>
      <c r="M7">
        <v>0</v>
      </c>
      <c r="N7">
        <v>27</v>
      </c>
      <c r="O7">
        <v>-39.1</v>
      </c>
    </row>
    <row r="8" spans="1:15" x14ac:dyDescent="0.3">
      <c r="A8" s="1">
        <v>44980.701284722221</v>
      </c>
      <c r="B8">
        <v>0.2</v>
      </c>
      <c r="C8">
        <v>0.2</v>
      </c>
      <c r="D8">
        <v>0</v>
      </c>
      <c r="E8">
        <v>0</v>
      </c>
      <c r="F8">
        <v>0.2</v>
      </c>
      <c r="G8">
        <v>0</v>
      </c>
      <c r="H8">
        <v>0</v>
      </c>
      <c r="I8">
        <v>0</v>
      </c>
      <c r="J8">
        <v>0.4</v>
      </c>
      <c r="K8">
        <v>0.2</v>
      </c>
      <c r="L8">
        <v>0</v>
      </c>
      <c r="M8">
        <v>0</v>
      </c>
      <c r="N8">
        <v>0.4</v>
      </c>
      <c r="O8">
        <v>-0.2</v>
      </c>
    </row>
    <row r="9" spans="1:15" x14ac:dyDescent="0.3">
      <c r="A9" s="1">
        <v>44980.701296296298</v>
      </c>
      <c r="B9">
        <v>955.5</v>
      </c>
      <c r="C9">
        <v>4.3</v>
      </c>
      <c r="D9">
        <v>0</v>
      </c>
      <c r="E9">
        <v>0</v>
      </c>
      <c r="F9">
        <v>955.5</v>
      </c>
      <c r="G9">
        <v>347</v>
      </c>
      <c r="H9">
        <v>0</v>
      </c>
      <c r="I9">
        <v>0</v>
      </c>
      <c r="J9">
        <v>1911</v>
      </c>
      <c r="K9">
        <v>351.3</v>
      </c>
      <c r="L9">
        <v>0</v>
      </c>
      <c r="M9">
        <v>0</v>
      </c>
      <c r="N9">
        <v>959.8</v>
      </c>
      <c r="O9">
        <v>-1302.5</v>
      </c>
    </row>
    <row r="10" spans="1:15" x14ac:dyDescent="0.3">
      <c r="A10" s="1">
        <v>44980.701307870368</v>
      </c>
      <c r="B10">
        <v>889.5</v>
      </c>
      <c r="C10">
        <v>3</v>
      </c>
      <c r="D10">
        <v>0</v>
      </c>
      <c r="E10">
        <v>0</v>
      </c>
      <c r="F10">
        <v>889.5</v>
      </c>
      <c r="G10">
        <v>174.8</v>
      </c>
      <c r="H10">
        <v>0</v>
      </c>
      <c r="I10">
        <v>0</v>
      </c>
      <c r="J10">
        <v>1779</v>
      </c>
      <c r="K10">
        <v>177.8</v>
      </c>
      <c r="L10">
        <v>0</v>
      </c>
      <c r="M10">
        <v>0</v>
      </c>
      <c r="N10">
        <v>892.5</v>
      </c>
      <c r="O10">
        <v>-1064.3</v>
      </c>
    </row>
    <row r="11" spans="1:15" x14ac:dyDescent="0.3">
      <c r="A11" s="1">
        <v>44980.701319444444</v>
      </c>
      <c r="B11">
        <v>101.9</v>
      </c>
      <c r="C11">
        <v>0.9</v>
      </c>
      <c r="D11">
        <v>0</v>
      </c>
      <c r="E11">
        <v>0</v>
      </c>
      <c r="F11">
        <v>101.9</v>
      </c>
      <c r="G11">
        <v>51.1</v>
      </c>
      <c r="H11">
        <v>0</v>
      </c>
      <c r="I11">
        <v>0</v>
      </c>
      <c r="J11">
        <v>203.8</v>
      </c>
      <c r="K11">
        <v>52</v>
      </c>
      <c r="L11">
        <v>0</v>
      </c>
      <c r="M11">
        <v>0</v>
      </c>
      <c r="N11">
        <v>102.80000000000001</v>
      </c>
      <c r="O11">
        <v>-153</v>
      </c>
    </row>
    <row r="13" spans="1:15" x14ac:dyDescent="0.3">
      <c r="A13" t="s">
        <v>804</v>
      </c>
      <c r="B13" s="9">
        <f>AVERAGE(B2:B11)</f>
        <v>209.11999999999998</v>
      </c>
      <c r="C13" s="9">
        <f t="shared" ref="C13:I13" si="0">AVERAGE(C2:C11)</f>
        <v>1.4700000000000002</v>
      </c>
      <c r="D13" s="9">
        <f t="shared" si="0"/>
        <v>0</v>
      </c>
      <c r="E13" s="9">
        <f t="shared" si="0"/>
        <v>0</v>
      </c>
      <c r="F13" s="9">
        <f t="shared" si="0"/>
        <v>209.11999999999998</v>
      </c>
      <c r="G13" s="9">
        <f t="shared" si="0"/>
        <v>64.09</v>
      </c>
      <c r="H13" s="9">
        <f t="shared" si="0"/>
        <v>0</v>
      </c>
      <c r="I13" s="9">
        <f t="shared" si="0"/>
        <v>0</v>
      </c>
    </row>
    <row r="14" spans="1:15" x14ac:dyDescent="0.3">
      <c r="A14" t="s">
        <v>805</v>
      </c>
      <c r="B14" s="9">
        <f>IF(B13=0,0,MAX(SUMPRODUCT(B2:B11,B2:B11)/SUM(B2:B11)-B13,0))</f>
        <v>617.66533856159162</v>
      </c>
      <c r="C14" s="9">
        <f t="shared" ref="C14:I14" si="1">IF(C13=0,0,MAX(SUMPRODUCT(C2:C11,C2:C11)/SUM(C2:C11)-C13,0))</f>
        <v>1.4966666666666661</v>
      </c>
      <c r="D14" s="9">
        <f t="shared" si="1"/>
        <v>0</v>
      </c>
      <c r="E14" s="9">
        <f t="shared" si="1"/>
        <v>0</v>
      </c>
      <c r="F14" s="9">
        <f t="shared" si="1"/>
        <v>617.66533856159162</v>
      </c>
      <c r="G14" s="9">
        <f t="shared" si="1"/>
        <v>180.44579341550943</v>
      </c>
      <c r="H14" s="9">
        <f t="shared" si="1"/>
        <v>0</v>
      </c>
      <c r="I14" s="9">
        <f t="shared" si="1"/>
        <v>0</v>
      </c>
    </row>
    <row r="15" spans="1:15" x14ac:dyDescent="0.3">
      <c r="A15" t="s">
        <v>806</v>
      </c>
      <c r="B15" s="9">
        <f>MAX(B2:B11)</f>
        <v>955.5</v>
      </c>
      <c r="C15" s="9">
        <f t="shared" ref="C15:I15" si="2">MAX(C2:C11)</f>
        <v>4.3</v>
      </c>
      <c r="D15" s="9">
        <f t="shared" si="2"/>
        <v>0</v>
      </c>
      <c r="E15" s="9">
        <f t="shared" si="2"/>
        <v>0</v>
      </c>
      <c r="F15" s="9">
        <f t="shared" si="2"/>
        <v>955.5</v>
      </c>
      <c r="G15" s="9">
        <f t="shared" si="2"/>
        <v>347</v>
      </c>
      <c r="H15" s="9">
        <f t="shared" si="2"/>
        <v>0</v>
      </c>
      <c r="I15" s="9">
        <f t="shared" si="2"/>
        <v>0</v>
      </c>
    </row>
    <row r="16" spans="1:15" x14ac:dyDescent="0.3">
      <c r="A16" t="s">
        <v>807</v>
      </c>
      <c r="B16" s="9">
        <f>MIN(B2:B11)</f>
        <v>0</v>
      </c>
      <c r="C16" s="9">
        <f t="shared" ref="C16:I16" si="3">MIN(C2:C11)</f>
        <v>0.2</v>
      </c>
      <c r="D16" s="9">
        <f t="shared" si="3"/>
        <v>0</v>
      </c>
      <c r="E16" s="9">
        <f t="shared" si="3"/>
        <v>0</v>
      </c>
      <c r="F16" s="9">
        <f t="shared" si="3"/>
        <v>0</v>
      </c>
      <c r="G16" s="9">
        <f t="shared" si="3"/>
        <v>0</v>
      </c>
      <c r="H16" s="9">
        <f t="shared" si="3"/>
        <v>0</v>
      </c>
      <c r="I16" s="9">
        <f t="shared" si="3"/>
        <v>0</v>
      </c>
    </row>
    <row r="17" spans="1:9" x14ac:dyDescent="0.3">
      <c r="A17" t="s">
        <v>808</v>
      </c>
      <c r="B17" s="9">
        <f>B13+ B14</f>
        <v>826.78533856159163</v>
      </c>
      <c r="C17" s="9">
        <f t="shared" ref="C17:I17" si="4">C13+ C14</f>
        <v>2.9666666666666663</v>
      </c>
      <c r="D17" s="9">
        <f t="shared" si="4"/>
        <v>0</v>
      </c>
      <c r="E17" s="9">
        <f t="shared" si="4"/>
        <v>0</v>
      </c>
      <c r="F17" s="9">
        <f t="shared" si="4"/>
        <v>826.78533856159163</v>
      </c>
      <c r="G17" s="9">
        <f t="shared" si="4"/>
        <v>244.53579341550943</v>
      </c>
      <c r="H17" s="9">
        <f t="shared" si="4"/>
        <v>0</v>
      </c>
      <c r="I17" s="9">
        <f t="shared" si="4"/>
        <v>0</v>
      </c>
    </row>
    <row r="18" spans="1:9" x14ac:dyDescent="0.3">
      <c r="B18" s="9"/>
      <c r="C18" s="9"/>
      <c r="D18" s="9"/>
      <c r="E18" s="9"/>
      <c r="F18" s="9"/>
      <c r="G18" s="9"/>
      <c r="H18" s="9"/>
      <c r="I18" s="9"/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AB99F-0857-4E42-9DF1-ACCF661644F5}">
  <dimension ref="A1:I18"/>
  <sheetViews>
    <sheetView workbookViewId="0">
      <pane xSplit="1" ySplit="1" topLeftCell="B13" activePane="bottomRight" state="frozen"/>
      <selection pane="topRight" activeCell="B1" sqref="B1"/>
      <selection pane="bottomLeft" activeCell="A2" sqref="A2"/>
      <selection pane="bottomRight"/>
    </sheetView>
  </sheetViews>
  <sheetFormatPr defaultRowHeight="14.4" x14ac:dyDescent="0.3"/>
  <sheetData>
    <row r="1" spans="1:9" x14ac:dyDescent="0.3">
      <c r="A1" t="s">
        <v>737</v>
      </c>
      <c r="B1" t="s">
        <v>738</v>
      </c>
      <c r="C1" t="s">
        <v>742</v>
      </c>
      <c r="D1" t="s">
        <v>743</v>
      </c>
      <c r="E1" t="s">
        <v>739</v>
      </c>
      <c r="F1" t="s">
        <v>740</v>
      </c>
      <c r="G1" t="s">
        <v>741</v>
      </c>
      <c r="H1" t="s">
        <v>744</v>
      </c>
      <c r="I1" t="s">
        <v>745</v>
      </c>
    </row>
    <row r="2" spans="1:9" x14ac:dyDescent="0.3">
      <c r="A2" s="1">
        <v>44980.701215277775</v>
      </c>
      <c r="B2">
        <v>47.9</v>
      </c>
      <c r="C2">
        <v>47.9</v>
      </c>
      <c r="D2">
        <v>56.5</v>
      </c>
      <c r="E2">
        <v>38.6</v>
      </c>
      <c r="F2">
        <v>0</v>
      </c>
      <c r="G2">
        <v>0</v>
      </c>
      <c r="H2">
        <v>0</v>
      </c>
      <c r="I2">
        <v>0</v>
      </c>
    </row>
    <row r="3" spans="1:9" x14ac:dyDescent="0.3">
      <c r="A3" s="1">
        <v>44980.701226851852</v>
      </c>
      <c r="B3">
        <v>1</v>
      </c>
      <c r="C3">
        <v>1</v>
      </c>
      <c r="D3">
        <v>1</v>
      </c>
      <c r="E3">
        <v>4</v>
      </c>
      <c r="F3">
        <v>0</v>
      </c>
      <c r="G3">
        <v>0</v>
      </c>
      <c r="H3">
        <v>0</v>
      </c>
      <c r="I3">
        <v>0</v>
      </c>
    </row>
    <row r="4" spans="1:9" x14ac:dyDescent="0.3">
      <c r="A4" s="1">
        <v>44980.701238425929</v>
      </c>
      <c r="B4">
        <v>9</v>
      </c>
      <c r="C4">
        <v>9</v>
      </c>
      <c r="D4">
        <v>4</v>
      </c>
      <c r="E4">
        <v>10</v>
      </c>
      <c r="F4">
        <v>0</v>
      </c>
      <c r="G4">
        <v>0</v>
      </c>
      <c r="H4">
        <v>0</v>
      </c>
      <c r="I4">
        <v>0</v>
      </c>
    </row>
    <row r="5" spans="1:9" x14ac:dyDescent="0.3">
      <c r="A5" s="1">
        <v>44980.701249999998</v>
      </c>
      <c r="B5">
        <v>0</v>
      </c>
      <c r="C5">
        <v>0</v>
      </c>
      <c r="D5">
        <v>0</v>
      </c>
      <c r="E5">
        <v>6</v>
      </c>
      <c r="F5">
        <v>0</v>
      </c>
      <c r="G5">
        <v>0</v>
      </c>
      <c r="H5">
        <v>0</v>
      </c>
      <c r="I5">
        <v>0</v>
      </c>
    </row>
    <row r="6" spans="1:9" x14ac:dyDescent="0.3">
      <c r="A6" s="1">
        <v>44980.701261574075</v>
      </c>
      <c r="B6">
        <v>0</v>
      </c>
      <c r="C6">
        <v>0</v>
      </c>
      <c r="D6">
        <v>0</v>
      </c>
      <c r="E6">
        <v>8</v>
      </c>
      <c r="F6">
        <v>0</v>
      </c>
      <c r="G6">
        <v>0</v>
      </c>
      <c r="H6">
        <v>0</v>
      </c>
      <c r="I6">
        <v>0</v>
      </c>
    </row>
    <row r="7" spans="1:9" x14ac:dyDescent="0.3">
      <c r="A7" s="1">
        <v>44980.701273148145</v>
      </c>
      <c r="B7">
        <v>4</v>
      </c>
      <c r="C7">
        <v>4</v>
      </c>
      <c r="D7">
        <v>10</v>
      </c>
      <c r="E7">
        <v>12</v>
      </c>
      <c r="F7">
        <v>0</v>
      </c>
      <c r="G7">
        <v>0</v>
      </c>
      <c r="H7">
        <v>0</v>
      </c>
      <c r="I7">
        <v>0</v>
      </c>
    </row>
    <row r="8" spans="1:9" x14ac:dyDescent="0.3">
      <c r="A8" s="1">
        <v>44980.701284722221</v>
      </c>
      <c r="B8">
        <v>3</v>
      </c>
      <c r="C8">
        <v>3</v>
      </c>
      <c r="D8">
        <v>0</v>
      </c>
      <c r="E8">
        <v>4</v>
      </c>
      <c r="F8">
        <v>0</v>
      </c>
      <c r="G8">
        <v>0</v>
      </c>
      <c r="H8">
        <v>0</v>
      </c>
      <c r="I8">
        <v>0</v>
      </c>
    </row>
    <row r="9" spans="1:9" x14ac:dyDescent="0.3">
      <c r="A9" s="1">
        <v>44980.701296296298</v>
      </c>
      <c r="B9">
        <v>868.3</v>
      </c>
      <c r="C9">
        <v>868.3</v>
      </c>
      <c r="D9">
        <v>250.8</v>
      </c>
      <c r="E9">
        <v>60</v>
      </c>
      <c r="F9">
        <v>0</v>
      </c>
      <c r="G9">
        <v>0</v>
      </c>
      <c r="H9">
        <v>0</v>
      </c>
      <c r="I9">
        <v>0</v>
      </c>
    </row>
    <row r="10" spans="1:9" x14ac:dyDescent="0.3">
      <c r="A10" s="1">
        <v>44980.701307870368</v>
      </c>
      <c r="B10">
        <v>1634.7</v>
      </c>
      <c r="C10">
        <v>1634.7</v>
      </c>
      <c r="D10">
        <v>128.9</v>
      </c>
      <c r="E10">
        <v>40</v>
      </c>
      <c r="F10">
        <v>0</v>
      </c>
      <c r="G10">
        <v>0</v>
      </c>
      <c r="H10">
        <v>0</v>
      </c>
      <c r="I10">
        <v>0</v>
      </c>
    </row>
    <row r="11" spans="1:9" x14ac:dyDescent="0.3">
      <c r="A11" s="1">
        <v>44980.701319444444</v>
      </c>
      <c r="B11">
        <v>8</v>
      </c>
      <c r="C11">
        <v>8</v>
      </c>
      <c r="D11">
        <v>37.9</v>
      </c>
      <c r="E11">
        <v>12</v>
      </c>
      <c r="F11">
        <v>0</v>
      </c>
      <c r="G11">
        <v>0</v>
      </c>
      <c r="H11">
        <v>0</v>
      </c>
      <c r="I11">
        <v>0</v>
      </c>
    </row>
    <row r="13" spans="1:9" x14ac:dyDescent="0.3">
      <c r="A13" t="s">
        <v>804</v>
      </c>
      <c r="B13" s="9">
        <f>AVERAGE(B2:B11)</f>
        <v>257.59000000000003</v>
      </c>
      <c r="C13" s="9">
        <f>AVERAGE(C2:C11)</f>
        <v>257.59000000000003</v>
      </c>
      <c r="D13" s="9">
        <f>AVERAGE(D2:D11)</f>
        <v>48.910000000000004</v>
      </c>
      <c r="E13" s="9">
        <f>AVERAGE(E2:E11)</f>
        <v>19.46</v>
      </c>
      <c r="F13" s="9">
        <f>AVERAGE(F2:F11)</f>
        <v>0</v>
      </c>
      <c r="G13" s="9">
        <f>AVERAGE(G2:G11)</f>
        <v>0</v>
      </c>
      <c r="H13" s="9">
        <f>AVERAGE(H2:H11)</f>
        <v>0</v>
      </c>
      <c r="I13" s="9">
        <f>AVERAGE(I2:I11)</f>
        <v>0</v>
      </c>
    </row>
    <row r="14" spans="1:9" x14ac:dyDescent="0.3">
      <c r="A14" t="s">
        <v>805</v>
      </c>
      <c r="B14" s="9">
        <f>IF(B13=0,0,MAX(SUMPRODUCT(B2:B11,B2:B11)/SUM(B2:B11)-B13,0))</f>
        <v>1073.4610462362671</v>
      </c>
      <c r="C14" s="9">
        <f>IF(C13=0,0,MAX(SUMPRODUCT(C2:C11,C2:C11)/SUM(C2:C11)-C13,0))</f>
        <v>1073.4610462362671</v>
      </c>
      <c r="D14" s="9">
        <f>IF(D13=0,0,MAX(SUMPRODUCT(D2:D11,D2:D11)/SUM(D2:D11)-D13,0))</f>
        <v>123.36869556327954</v>
      </c>
      <c r="E14" s="9">
        <f>IF(E13=0,0,MAX(SUMPRODUCT(E2:E11,E2:E11)/SUM(E2:E11)-E13,0))</f>
        <v>17.59015416238438</v>
      </c>
      <c r="F14" s="9">
        <f>IF(F13=0,0,MAX(SUMPRODUCT(F2:F11,F2:F11)/SUM(F2:F11)-F13,0))</f>
        <v>0</v>
      </c>
      <c r="G14" s="9">
        <f>IF(G13=0,0,MAX(SUMPRODUCT(G2:G11,G2:G11)/SUM(G2:G11)-G13,0))</f>
        <v>0</v>
      </c>
      <c r="H14" s="9">
        <f>IF(H13=0,0,MAX(SUMPRODUCT(H2:H11,H2:H11)/SUM(H2:H11)-H13,0))</f>
        <v>0</v>
      </c>
      <c r="I14" s="9">
        <f>IF(I13=0,0,MAX(SUMPRODUCT(I2:I11,I2:I11)/SUM(I2:I11)-I13,0))</f>
        <v>0</v>
      </c>
    </row>
    <row r="15" spans="1:9" x14ac:dyDescent="0.3">
      <c r="A15" t="s">
        <v>806</v>
      </c>
      <c r="B15" s="9">
        <f>MAX(B2:B11)</f>
        <v>1634.7</v>
      </c>
      <c r="C15" s="9">
        <f>MAX(C2:C11)</f>
        <v>1634.7</v>
      </c>
      <c r="D15" s="9">
        <f>MAX(D2:D11)</f>
        <v>250.8</v>
      </c>
      <c r="E15" s="9">
        <f>MAX(E2:E11)</f>
        <v>60</v>
      </c>
      <c r="F15" s="9">
        <f>MAX(F2:F11)</f>
        <v>0</v>
      </c>
      <c r="G15" s="9">
        <f>MAX(G2:G11)</f>
        <v>0</v>
      </c>
      <c r="H15" s="9">
        <f>MAX(H2:H11)</f>
        <v>0</v>
      </c>
      <c r="I15" s="9">
        <f>MAX(I2:I11)</f>
        <v>0</v>
      </c>
    </row>
    <row r="16" spans="1:9" x14ac:dyDescent="0.3">
      <c r="A16" t="s">
        <v>807</v>
      </c>
      <c r="B16" s="9">
        <f>MIN(B2:B11)</f>
        <v>0</v>
      </c>
      <c r="C16" s="9">
        <f>MIN(C2:C11)</f>
        <v>0</v>
      </c>
      <c r="D16" s="9">
        <f>MIN(D2:D11)</f>
        <v>0</v>
      </c>
      <c r="E16" s="9">
        <f>MIN(E2:E11)</f>
        <v>4</v>
      </c>
      <c r="F16" s="9">
        <f>MIN(F2:F11)</f>
        <v>0</v>
      </c>
      <c r="G16" s="9">
        <f>MIN(G2:G11)</f>
        <v>0</v>
      </c>
      <c r="H16" s="9">
        <f>MIN(H2:H11)</f>
        <v>0</v>
      </c>
      <c r="I16" s="9">
        <f>MIN(I2:I11)</f>
        <v>0</v>
      </c>
    </row>
    <row r="17" spans="1:9" x14ac:dyDescent="0.3">
      <c r="A17" t="s">
        <v>808</v>
      </c>
      <c r="B17" s="9">
        <f>B13+ B14</f>
        <v>1331.0510462362672</v>
      </c>
      <c r="C17" s="9">
        <f>C13+ C14</f>
        <v>1331.0510462362672</v>
      </c>
      <c r="D17" s="9">
        <f>D13+ D14</f>
        <v>172.27869556327954</v>
      </c>
      <c r="E17" s="9">
        <f>E13+ E14</f>
        <v>37.050154162384381</v>
      </c>
      <c r="F17" s="9">
        <f>F13+ F14</f>
        <v>0</v>
      </c>
      <c r="G17" s="9">
        <f>G13+ G14</f>
        <v>0</v>
      </c>
      <c r="H17" s="9">
        <f>H13+ H14</f>
        <v>0</v>
      </c>
      <c r="I17" s="9">
        <f>I13+ I14</f>
        <v>0</v>
      </c>
    </row>
    <row r="18" spans="1:9" x14ac:dyDescent="0.3">
      <c r="B18" s="9"/>
      <c r="C18" s="9"/>
      <c r="D18" s="9"/>
      <c r="E18" s="9"/>
      <c r="F18" s="9"/>
      <c r="G18" s="9"/>
      <c r="H18" s="9"/>
      <c r="I18" s="9"/>
    </row>
  </sheetData>
  <sortState xmlns:xlrd2="http://schemas.microsoft.com/office/spreadsheetml/2017/richdata2" columnSort="1" ref="B1:I17">
    <sortCondition descending="1" ref="B17"/>
  </sortState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5268A-9E16-4F25-85CF-0CF6C515E6D3}">
  <dimension ref="A1:K11"/>
  <sheetViews>
    <sheetView workbookViewId="0">
      <pane xSplit="1" ySplit="1" topLeftCell="B13" activePane="bottomRight" state="frozen"/>
      <selection pane="topRight" activeCell="B1" sqref="B1"/>
      <selection pane="bottomLeft" activeCell="A2" sqref="A2"/>
      <selection pane="bottomRight"/>
    </sheetView>
  </sheetViews>
  <sheetFormatPr defaultRowHeight="14.4" x14ac:dyDescent="0.3"/>
  <sheetData>
    <row r="1" spans="1:11" x14ac:dyDescent="0.3">
      <c r="A1" t="s">
        <v>746</v>
      </c>
      <c r="B1" t="s">
        <v>829</v>
      </c>
      <c r="C1" t="s">
        <v>747</v>
      </c>
      <c r="D1" t="s">
        <v>748</v>
      </c>
      <c r="E1" t="s">
        <v>749</v>
      </c>
      <c r="F1" t="s">
        <v>750</v>
      </c>
      <c r="G1" t="s">
        <v>751</v>
      </c>
      <c r="H1" t="s">
        <v>752</v>
      </c>
      <c r="I1" t="s">
        <v>753</v>
      </c>
      <c r="J1" t="s">
        <v>754</v>
      </c>
      <c r="K1" t="s">
        <v>755</v>
      </c>
    </row>
    <row r="2" spans="1:11" x14ac:dyDescent="0.3">
      <c r="A2" s="1">
        <v>44980.701215277775</v>
      </c>
      <c r="B2">
        <v>1</v>
      </c>
      <c r="C2">
        <v>0</v>
      </c>
      <c r="D2">
        <v>0</v>
      </c>
      <c r="E2">
        <v>-1</v>
      </c>
      <c r="F2">
        <v>-1</v>
      </c>
      <c r="G2">
        <v>-1</v>
      </c>
      <c r="H2">
        <v>0</v>
      </c>
      <c r="I2">
        <v>-1</v>
      </c>
      <c r="J2">
        <v>-1</v>
      </c>
      <c r="K2">
        <v>-1</v>
      </c>
    </row>
    <row r="3" spans="1:11" x14ac:dyDescent="0.3">
      <c r="A3" s="1">
        <v>44980.701226851852</v>
      </c>
      <c r="B3">
        <v>1</v>
      </c>
      <c r="C3">
        <v>0</v>
      </c>
      <c r="D3">
        <v>189.6</v>
      </c>
      <c r="E3">
        <v>-1</v>
      </c>
      <c r="F3">
        <v>-1</v>
      </c>
      <c r="G3">
        <v>-1</v>
      </c>
      <c r="H3">
        <v>0</v>
      </c>
      <c r="I3">
        <v>-1</v>
      </c>
      <c r="J3">
        <v>-1</v>
      </c>
      <c r="K3">
        <v>-1</v>
      </c>
    </row>
    <row r="4" spans="1:11" x14ac:dyDescent="0.3">
      <c r="A4" s="1">
        <v>44980.701238425929</v>
      </c>
      <c r="B4">
        <v>43</v>
      </c>
      <c r="C4">
        <v>0</v>
      </c>
      <c r="D4">
        <v>3724.4</v>
      </c>
      <c r="E4">
        <v>-1</v>
      </c>
      <c r="F4">
        <v>-1</v>
      </c>
      <c r="G4">
        <v>-1</v>
      </c>
      <c r="H4">
        <v>445.5</v>
      </c>
      <c r="I4">
        <v>-1</v>
      </c>
      <c r="J4">
        <v>-1</v>
      </c>
      <c r="K4">
        <v>-1</v>
      </c>
    </row>
    <row r="5" spans="1:11" x14ac:dyDescent="0.3">
      <c r="A5" s="1">
        <v>44980.701249999998</v>
      </c>
      <c r="B5">
        <v>187</v>
      </c>
      <c r="C5">
        <v>0</v>
      </c>
      <c r="D5">
        <v>2681.3</v>
      </c>
      <c r="E5">
        <v>-1</v>
      </c>
      <c r="F5">
        <v>-1</v>
      </c>
      <c r="G5">
        <v>-1</v>
      </c>
      <c r="H5">
        <v>143.80000000000001</v>
      </c>
      <c r="I5">
        <v>-1</v>
      </c>
      <c r="J5">
        <v>-1</v>
      </c>
      <c r="K5">
        <v>-1</v>
      </c>
    </row>
    <row r="6" spans="1:11" x14ac:dyDescent="0.3">
      <c r="A6" s="1">
        <v>44980.701261574075</v>
      </c>
      <c r="B6">
        <v>202</v>
      </c>
      <c r="C6">
        <v>0</v>
      </c>
      <c r="D6">
        <v>2729.5</v>
      </c>
      <c r="E6">
        <v>-1</v>
      </c>
      <c r="F6">
        <v>-1</v>
      </c>
      <c r="G6">
        <v>-1</v>
      </c>
      <c r="H6">
        <v>19</v>
      </c>
      <c r="I6">
        <v>-1</v>
      </c>
      <c r="J6">
        <v>-1</v>
      </c>
      <c r="K6">
        <v>-1</v>
      </c>
    </row>
    <row r="7" spans="1:11" x14ac:dyDescent="0.3">
      <c r="A7" s="1">
        <v>44980.701273148145</v>
      </c>
      <c r="B7">
        <v>201</v>
      </c>
      <c r="C7">
        <v>0</v>
      </c>
      <c r="D7">
        <v>2678.7</v>
      </c>
      <c r="E7">
        <v>-1</v>
      </c>
      <c r="F7">
        <v>-1</v>
      </c>
      <c r="G7">
        <v>-1</v>
      </c>
      <c r="H7">
        <v>0</v>
      </c>
      <c r="I7">
        <v>-1</v>
      </c>
      <c r="J7">
        <v>-1</v>
      </c>
      <c r="K7">
        <v>-1</v>
      </c>
    </row>
    <row r="8" spans="1:11" x14ac:dyDescent="0.3">
      <c r="A8" s="1">
        <v>44980.701284722221</v>
      </c>
      <c r="B8">
        <v>203</v>
      </c>
      <c r="C8">
        <v>0</v>
      </c>
      <c r="D8">
        <v>2760.6</v>
      </c>
      <c r="E8">
        <v>-1</v>
      </c>
      <c r="F8">
        <v>-1</v>
      </c>
      <c r="G8">
        <v>-1</v>
      </c>
      <c r="H8">
        <v>0</v>
      </c>
      <c r="I8">
        <v>-1</v>
      </c>
      <c r="J8">
        <v>-1</v>
      </c>
      <c r="K8">
        <v>-1</v>
      </c>
    </row>
    <row r="9" spans="1:11" x14ac:dyDescent="0.3">
      <c r="A9" s="1">
        <v>44980.701296296298</v>
      </c>
      <c r="B9">
        <v>198</v>
      </c>
      <c r="C9">
        <v>0</v>
      </c>
      <c r="D9">
        <v>6647.5</v>
      </c>
      <c r="E9">
        <v>-1</v>
      </c>
      <c r="F9">
        <v>-1</v>
      </c>
      <c r="G9">
        <v>-1</v>
      </c>
      <c r="H9">
        <v>0</v>
      </c>
      <c r="I9">
        <v>-1</v>
      </c>
      <c r="J9">
        <v>-1</v>
      </c>
      <c r="K9">
        <v>-1</v>
      </c>
    </row>
    <row r="10" spans="1:11" x14ac:dyDescent="0.3">
      <c r="A10" s="1">
        <v>44980.701307870368</v>
      </c>
      <c r="B10">
        <v>1</v>
      </c>
      <c r="C10">
        <v>0</v>
      </c>
      <c r="D10">
        <v>14622.2</v>
      </c>
      <c r="E10">
        <v>-1</v>
      </c>
      <c r="F10">
        <v>-1</v>
      </c>
      <c r="G10">
        <v>-1</v>
      </c>
      <c r="H10">
        <v>0</v>
      </c>
      <c r="I10">
        <v>-1</v>
      </c>
      <c r="J10">
        <v>-1</v>
      </c>
      <c r="K10">
        <v>-1</v>
      </c>
    </row>
    <row r="11" spans="1:11" x14ac:dyDescent="0.3">
      <c r="A11" s="1">
        <v>44980.701319444444</v>
      </c>
      <c r="B11">
        <v>1</v>
      </c>
      <c r="C11">
        <v>0</v>
      </c>
      <c r="D11">
        <v>182.7</v>
      </c>
      <c r="E11">
        <v>-1</v>
      </c>
      <c r="F11">
        <v>-1</v>
      </c>
      <c r="G11">
        <v>-1</v>
      </c>
      <c r="H11">
        <v>0</v>
      </c>
      <c r="I11">
        <v>-1</v>
      </c>
      <c r="J11">
        <v>-1</v>
      </c>
      <c r="K11">
        <v>-1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B7CB8-6241-401D-8DC1-FDBAAF796FA5}">
  <dimension ref="A1:AL11"/>
  <sheetViews>
    <sheetView workbookViewId="0">
      <pane xSplit="1" ySplit="1" topLeftCell="B13" activePane="bottomRight" state="frozen"/>
      <selection pane="topRight" activeCell="B1" sqref="B1"/>
      <selection pane="bottomLeft" activeCell="A2" sqref="A2"/>
      <selection pane="bottomRight"/>
    </sheetView>
  </sheetViews>
  <sheetFormatPr defaultRowHeight="14.4" x14ac:dyDescent="0.3"/>
  <sheetData>
    <row r="1" spans="1:38" x14ac:dyDescent="0.3">
      <c r="A1" t="s">
        <v>756</v>
      </c>
      <c r="B1" t="s">
        <v>757</v>
      </c>
      <c r="C1" t="s">
        <v>758</v>
      </c>
      <c r="D1" t="s">
        <v>759</v>
      </c>
      <c r="E1" t="s">
        <v>760</v>
      </c>
      <c r="F1" t="s">
        <v>761</v>
      </c>
      <c r="G1" t="s">
        <v>762</v>
      </c>
      <c r="H1" t="s">
        <v>763</v>
      </c>
      <c r="I1" t="s">
        <v>764</v>
      </c>
      <c r="J1" t="s">
        <v>765</v>
      </c>
      <c r="K1" t="s">
        <v>766</v>
      </c>
      <c r="L1" t="s">
        <v>767</v>
      </c>
      <c r="M1" t="s">
        <v>768</v>
      </c>
      <c r="N1" t="s">
        <v>769</v>
      </c>
      <c r="O1" t="s">
        <v>770</v>
      </c>
      <c r="P1" t="s">
        <v>771</v>
      </c>
      <c r="Q1" t="s">
        <v>772</v>
      </c>
      <c r="R1" t="s">
        <v>773</v>
      </c>
      <c r="S1" t="s">
        <v>774</v>
      </c>
      <c r="T1" t="s">
        <v>775</v>
      </c>
      <c r="U1" t="s">
        <v>776</v>
      </c>
      <c r="V1" t="s">
        <v>777</v>
      </c>
      <c r="W1" t="s">
        <v>778</v>
      </c>
      <c r="X1" t="s">
        <v>779</v>
      </c>
      <c r="Y1" t="s">
        <v>780</v>
      </c>
      <c r="Z1" t="s">
        <v>781</v>
      </c>
      <c r="AA1" t="s">
        <v>782</v>
      </c>
      <c r="AB1" t="s">
        <v>783</v>
      </c>
      <c r="AC1" t="s">
        <v>784</v>
      </c>
      <c r="AD1" t="s">
        <v>785</v>
      </c>
      <c r="AE1" t="s">
        <v>786</v>
      </c>
      <c r="AF1" t="s">
        <v>787</v>
      </c>
      <c r="AG1" t="s">
        <v>788</v>
      </c>
      <c r="AH1" t="s">
        <v>789</v>
      </c>
      <c r="AI1" t="s">
        <v>790</v>
      </c>
      <c r="AJ1" t="s">
        <v>791</v>
      </c>
      <c r="AK1" t="s">
        <v>792</v>
      </c>
      <c r="AL1" t="s">
        <v>793</v>
      </c>
    </row>
    <row r="2" spans="1:38" x14ac:dyDescent="0.3">
      <c r="A2" s="1">
        <v>44980.701215277775</v>
      </c>
      <c r="B2">
        <v>48</v>
      </c>
      <c r="C2">
        <v>0</v>
      </c>
      <c r="D2">
        <v>0</v>
      </c>
      <c r="E2">
        <v>2423</v>
      </c>
      <c r="F2">
        <v>41740</v>
      </c>
      <c r="G2">
        <v>15492</v>
      </c>
      <c r="H2">
        <v>0</v>
      </c>
      <c r="I2">
        <v>0</v>
      </c>
      <c r="J2">
        <v>0</v>
      </c>
      <c r="K2">
        <v>0</v>
      </c>
      <c r="L2">
        <v>7970</v>
      </c>
      <c r="M2">
        <v>742</v>
      </c>
      <c r="N2">
        <v>0</v>
      </c>
      <c r="O2">
        <v>8793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8007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3">
      <c r="A3" s="1">
        <v>44980.701226851852</v>
      </c>
      <c r="B3">
        <v>18</v>
      </c>
      <c r="C3">
        <v>0</v>
      </c>
      <c r="D3">
        <v>0</v>
      </c>
      <c r="E3">
        <v>2423</v>
      </c>
      <c r="F3">
        <v>41740</v>
      </c>
      <c r="G3">
        <v>15492</v>
      </c>
      <c r="H3">
        <v>0</v>
      </c>
      <c r="I3">
        <v>124</v>
      </c>
      <c r="J3">
        <v>0</v>
      </c>
      <c r="K3">
        <v>0</v>
      </c>
      <c r="L3">
        <v>0</v>
      </c>
      <c r="M3">
        <v>0</v>
      </c>
      <c r="N3">
        <v>0</v>
      </c>
      <c r="O3">
        <v>14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3">
      <c r="A4" s="1">
        <v>44980.701238425929</v>
      </c>
      <c r="B4">
        <v>18</v>
      </c>
      <c r="C4">
        <v>0</v>
      </c>
      <c r="D4">
        <v>0</v>
      </c>
      <c r="E4">
        <v>2904</v>
      </c>
      <c r="F4">
        <v>42578</v>
      </c>
      <c r="G4">
        <v>15492</v>
      </c>
      <c r="H4">
        <v>0</v>
      </c>
      <c r="I4">
        <v>800</v>
      </c>
      <c r="J4">
        <v>0</v>
      </c>
      <c r="K4">
        <v>0</v>
      </c>
      <c r="L4">
        <v>47265</v>
      </c>
      <c r="M4">
        <v>3</v>
      </c>
      <c r="N4">
        <v>0</v>
      </c>
      <c r="O4">
        <v>88922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62391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3">
      <c r="A5" s="1">
        <v>44980.701249999998</v>
      </c>
      <c r="B5">
        <v>19</v>
      </c>
      <c r="C5">
        <v>0</v>
      </c>
      <c r="D5">
        <v>0</v>
      </c>
      <c r="E5">
        <v>5045</v>
      </c>
      <c r="F5">
        <v>42778</v>
      </c>
      <c r="G5">
        <v>15493</v>
      </c>
      <c r="H5">
        <v>0</v>
      </c>
      <c r="I5">
        <v>0</v>
      </c>
      <c r="J5">
        <v>0</v>
      </c>
      <c r="K5">
        <v>0</v>
      </c>
      <c r="L5">
        <v>17194</v>
      </c>
      <c r="M5">
        <v>11</v>
      </c>
      <c r="N5">
        <v>0</v>
      </c>
      <c r="O5">
        <v>204605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186086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3">
      <c r="A6" s="1">
        <v>44980.701261574075</v>
      </c>
      <c r="B6">
        <v>19</v>
      </c>
      <c r="C6">
        <v>0</v>
      </c>
      <c r="D6">
        <v>0</v>
      </c>
      <c r="E6">
        <v>5865</v>
      </c>
      <c r="F6">
        <v>42923</v>
      </c>
      <c r="G6">
        <v>15502</v>
      </c>
      <c r="H6">
        <v>0</v>
      </c>
      <c r="I6">
        <v>208</v>
      </c>
      <c r="J6">
        <v>0</v>
      </c>
      <c r="K6">
        <v>0</v>
      </c>
      <c r="L6">
        <v>7100</v>
      </c>
      <c r="M6">
        <v>1</v>
      </c>
      <c r="N6">
        <v>0</v>
      </c>
      <c r="O6">
        <v>162607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153701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3">
      <c r="A7" s="1">
        <v>44980.701273148145</v>
      </c>
      <c r="B7">
        <v>67</v>
      </c>
      <c r="C7">
        <v>0</v>
      </c>
      <c r="D7">
        <v>0</v>
      </c>
      <c r="E7">
        <v>6334</v>
      </c>
      <c r="F7">
        <v>42852</v>
      </c>
      <c r="G7">
        <v>15519</v>
      </c>
      <c r="H7">
        <v>0</v>
      </c>
      <c r="I7">
        <v>0</v>
      </c>
      <c r="J7">
        <v>0</v>
      </c>
      <c r="K7">
        <v>0</v>
      </c>
      <c r="L7">
        <v>3305</v>
      </c>
      <c r="M7">
        <v>0</v>
      </c>
      <c r="N7">
        <v>0</v>
      </c>
      <c r="O7">
        <v>144410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137484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3">
      <c r="A8" s="1">
        <v>44980.701284722221</v>
      </c>
      <c r="B8">
        <v>68</v>
      </c>
      <c r="C8">
        <v>0</v>
      </c>
      <c r="D8">
        <v>0</v>
      </c>
      <c r="E8">
        <v>6753</v>
      </c>
      <c r="F8">
        <v>42922</v>
      </c>
      <c r="G8">
        <v>15520</v>
      </c>
      <c r="H8">
        <v>0</v>
      </c>
      <c r="I8">
        <v>0</v>
      </c>
      <c r="J8">
        <v>0</v>
      </c>
      <c r="K8">
        <v>0</v>
      </c>
      <c r="L8">
        <v>7834</v>
      </c>
      <c r="M8">
        <v>0</v>
      </c>
      <c r="N8">
        <v>0</v>
      </c>
      <c r="O8">
        <v>156744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152087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3">
      <c r="A9" s="1">
        <v>44980.701296296298</v>
      </c>
      <c r="B9">
        <v>69</v>
      </c>
      <c r="C9">
        <v>0</v>
      </c>
      <c r="D9">
        <v>0</v>
      </c>
      <c r="E9">
        <v>6891</v>
      </c>
      <c r="F9">
        <v>42945</v>
      </c>
      <c r="G9">
        <v>15501</v>
      </c>
      <c r="H9">
        <v>0</v>
      </c>
      <c r="I9">
        <v>0</v>
      </c>
      <c r="J9">
        <v>0</v>
      </c>
      <c r="K9">
        <v>0</v>
      </c>
      <c r="L9">
        <v>40139</v>
      </c>
      <c r="M9">
        <v>0</v>
      </c>
      <c r="N9">
        <v>0</v>
      </c>
      <c r="O9">
        <v>127879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127699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3">
      <c r="A10" s="1">
        <v>44980.701307870368</v>
      </c>
      <c r="B10">
        <v>71</v>
      </c>
      <c r="C10">
        <v>0</v>
      </c>
      <c r="D10">
        <v>0</v>
      </c>
      <c r="E10">
        <v>2423</v>
      </c>
      <c r="F10">
        <v>41740</v>
      </c>
      <c r="G10">
        <v>15498</v>
      </c>
      <c r="H10">
        <v>0</v>
      </c>
      <c r="I10">
        <v>0</v>
      </c>
      <c r="J10">
        <v>0</v>
      </c>
      <c r="K10">
        <v>0</v>
      </c>
      <c r="L10">
        <v>749702</v>
      </c>
      <c r="M10">
        <v>0</v>
      </c>
      <c r="N10">
        <v>0</v>
      </c>
      <c r="O10">
        <v>48234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56683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3">
      <c r="A11" s="1">
        <v>44980.701319444444</v>
      </c>
      <c r="B11">
        <v>71</v>
      </c>
      <c r="C11">
        <v>0</v>
      </c>
      <c r="D11">
        <v>0</v>
      </c>
      <c r="E11">
        <v>2423</v>
      </c>
      <c r="F11">
        <v>41740</v>
      </c>
      <c r="G11">
        <v>15498</v>
      </c>
      <c r="H11">
        <v>0</v>
      </c>
      <c r="I11">
        <v>0</v>
      </c>
      <c r="J11">
        <v>0</v>
      </c>
      <c r="K11">
        <v>0</v>
      </c>
      <c r="L11">
        <v>16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13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655E6-22ED-49EC-A2D2-8822DF6573AD}">
  <dimension ref="A1:D10"/>
  <sheetViews>
    <sheetView workbookViewId="0"/>
  </sheetViews>
  <sheetFormatPr defaultRowHeight="14.4" x14ac:dyDescent="0.3"/>
  <cols>
    <col min="2" max="2" width="8.88671875" style="1"/>
    <col min="3" max="3" width="9.21875" style="3" bestFit="1" customWidth="1"/>
  </cols>
  <sheetData>
    <row r="1" spans="1:4" x14ac:dyDescent="0.3">
      <c r="A1" t="s">
        <v>657</v>
      </c>
      <c r="B1" s="1">
        <v>0.7012152777777777</v>
      </c>
      <c r="C1" s="3">
        <v>44980</v>
      </c>
      <c r="D1" s="10">
        <v>44980.701215277775</v>
      </c>
    </row>
    <row r="2" spans="1:4" x14ac:dyDescent="0.3">
      <c r="A2" t="s">
        <v>658</v>
      </c>
      <c r="B2" s="1">
        <v>0.70122685185185185</v>
      </c>
      <c r="C2" s="3">
        <v>44980</v>
      </c>
      <c r="D2" s="10">
        <v>44980.701226851852</v>
      </c>
    </row>
    <row r="3" spans="1:4" x14ac:dyDescent="0.3">
      <c r="A3" t="s">
        <v>659</v>
      </c>
      <c r="B3" s="1">
        <v>0.701238425925926</v>
      </c>
      <c r="C3" s="3">
        <v>44980</v>
      </c>
      <c r="D3" s="10">
        <v>44980.701238425929</v>
      </c>
    </row>
    <row r="4" spans="1:4" x14ac:dyDescent="0.3">
      <c r="A4" t="s">
        <v>660</v>
      </c>
      <c r="B4" s="1">
        <v>0.70124999999999993</v>
      </c>
      <c r="C4" s="3">
        <v>44980</v>
      </c>
      <c r="D4" s="10">
        <v>44980.701249999998</v>
      </c>
    </row>
    <row r="5" spans="1:4" x14ac:dyDescent="0.3">
      <c r="A5" t="s">
        <v>661</v>
      </c>
      <c r="B5" s="1">
        <v>0.70126157407407408</v>
      </c>
      <c r="C5" s="3">
        <v>44980</v>
      </c>
      <c r="D5" s="10">
        <v>44980.701261574075</v>
      </c>
    </row>
    <row r="6" spans="1:4" x14ac:dyDescent="0.3">
      <c r="A6" t="s">
        <v>662</v>
      </c>
      <c r="B6" s="1">
        <v>0.70127314814814812</v>
      </c>
      <c r="C6" s="3">
        <v>44980</v>
      </c>
      <c r="D6" s="10">
        <v>44980.701273148145</v>
      </c>
    </row>
    <row r="7" spans="1:4" x14ac:dyDescent="0.3">
      <c r="A7" t="s">
        <v>663</v>
      </c>
      <c r="B7" s="1">
        <v>0.70128472222222227</v>
      </c>
      <c r="C7" s="3">
        <v>44980</v>
      </c>
      <c r="D7" s="10">
        <v>44980.701284722221</v>
      </c>
    </row>
    <row r="8" spans="1:4" x14ac:dyDescent="0.3">
      <c r="A8" t="s">
        <v>664</v>
      </c>
      <c r="B8" s="1">
        <v>0.7012962962962962</v>
      </c>
      <c r="C8" s="3">
        <v>44980</v>
      </c>
      <c r="D8" s="10">
        <v>44980.701296296298</v>
      </c>
    </row>
    <row r="9" spans="1:4" x14ac:dyDescent="0.3">
      <c r="A9" t="s">
        <v>665</v>
      </c>
      <c r="B9" s="1">
        <v>0.70130787037037035</v>
      </c>
      <c r="C9" s="3">
        <v>44980</v>
      </c>
      <c r="D9" s="10">
        <v>44980.701307870368</v>
      </c>
    </row>
    <row r="10" spans="1:4" x14ac:dyDescent="0.3">
      <c r="A10" t="s">
        <v>666</v>
      </c>
      <c r="B10" s="1">
        <v>0.7013194444444445</v>
      </c>
      <c r="C10" s="3">
        <v>44980</v>
      </c>
      <c r="D10" s="10">
        <v>44980.701319444444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4B351-64C3-43CD-92D7-2BCE4A44DDF3}">
  <dimension ref="A1:J13"/>
  <sheetViews>
    <sheetView workbookViewId="0">
      <pane xSplit="1" ySplit="1" topLeftCell="B13" activePane="bottomRight" state="frozen"/>
      <selection pane="topRight" activeCell="B1" sqref="B1"/>
      <selection pane="bottomLeft" activeCell="A2" sqref="A2"/>
      <selection pane="bottomRight"/>
    </sheetView>
  </sheetViews>
  <sheetFormatPr defaultRowHeight="14.4" x14ac:dyDescent="0.3"/>
  <sheetData>
    <row r="1" spans="1:10" x14ac:dyDescent="0.3">
      <c r="A1" t="s">
        <v>651</v>
      </c>
      <c r="B1" t="s">
        <v>652</v>
      </c>
      <c r="C1" t="s">
        <v>653</v>
      </c>
      <c r="D1" t="s">
        <v>654</v>
      </c>
      <c r="E1" t="s">
        <v>655</v>
      </c>
      <c r="F1" t="s">
        <v>656</v>
      </c>
      <c r="J1" t="s">
        <v>802</v>
      </c>
    </row>
    <row r="2" spans="1:10" x14ac:dyDescent="0.3">
      <c r="A2" s="1">
        <v>44980.701215277775</v>
      </c>
      <c r="B2">
        <v>3</v>
      </c>
      <c r="C2">
        <v>4.5</v>
      </c>
      <c r="D2">
        <v>0</v>
      </c>
      <c r="E2">
        <v>92.5</v>
      </c>
      <c r="F2">
        <v>0</v>
      </c>
      <c r="J2">
        <v>7.5</v>
      </c>
    </row>
    <row r="3" spans="1:10" x14ac:dyDescent="0.3">
      <c r="A3" s="1">
        <v>44980.701226851852</v>
      </c>
      <c r="B3">
        <v>0</v>
      </c>
      <c r="C3">
        <v>0</v>
      </c>
      <c r="D3">
        <v>0</v>
      </c>
      <c r="E3">
        <v>100</v>
      </c>
      <c r="F3">
        <v>0</v>
      </c>
      <c r="J3">
        <v>0</v>
      </c>
    </row>
    <row r="4" spans="1:10" x14ac:dyDescent="0.3">
      <c r="A4" s="1">
        <v>44980.701238425929</v>
      </c>
      <c r="B4">
        <v>8.6999999999999993</v>
      </c>
      <c r="C4">
        <v>15.5</v>
      </c>
      <c r="D4">
        <v>0</v>
      </c>
      <c r="E4">
        <v>75.7</v>
      </c>
      <c r="F4">
        <v>0</v>
      </c>
      <c r="J4">
        <v>24.2</v>
      </c>
    </row>
    <row r="5" spans="1:10" x14ac:dyDescent="0.3">
      <c r="A5" s="1">
        <v>44980.701249999998</v>
      </c>
      <c r="B5">
        <v>63.6</v>
      </c>
      <c r="C5">
        <v>36.4</v>
      </c>
      <c r="D5">
        <v>0</v>
      </c>
      <c r="E5">
        <v>0</v>
      </c>
      <c r="F5">
        <v>0</v>
      </c>
      <c r="J5">
        <v>100</v>
      </c>
    </row>
    <row r="6" spans="1:10" x14ac:dyDescent="0.3">
      <c r="A6" s="1">
        <v>44980.701261574075</v>
      </c>
      <c r="B6">
        <v>72</v>
      </c>
      <c r="C6">
        <v>28</v>
      </c>
      <c r="D6">
        <v>0</v>
      </c>
      <c r="E6">
        <v>0</v>
      </c>
      <c r="F6">
        <v>0</v>
      </c>
      <c r="J6">
        <v>100</v>
      </c>
    </row>
    <row r="7" spans="1:10" x14ac:dyDescent="0.3">
      <c r="A7" s="1">
        <v>44980.701273148145</v>
      </c>
      <c r="B7">
        <v>74</v>
      </c>
      <c r="C7">
        <v>26</v>
      </c>
      <c r="D7">
        <v>0</v>
      </c>
      <c r="E7">
        <v>0</v>
      </c>
      <c r="F7">
        <v>0</v>
      </c>
      <c r="J7">
        <v>100</v>
      </c>
    </row>
    <row r="8" spans="1:10" x14ac:dyDescent="0.3">
      <c r="A8" s="1">
        <v>44980.701284722221</v>
      </c>
      <c r="B8">
        <v>78</v>
      </c>
      <c r="C8">
        <v>22</v>
      </c>
      <c r="D8">
        <v>0</v>
      </c>
      <c r="E8">
        <v>0</v>
      </c>
      <c r="F8">
        <v>0</v>
      </c>
      <c r="J8">
        <v>100</v>
      </c>
    </row>
    <row r="9" spans="1:10" x14ac:dyDescent="0.3">
      <c r="A9" s="1">
        <v>44980.701296296298</v>
      </c>
      <c r="B9">
        <v>86</v>
      </c>
      <c r="C9">
        <v>14</v>
      </c>
      <c r="D9">
        <v>0</v>
      </c>
      <c r="E9">
        <v>0</v>
      </c>
      <c r="F9">
        <v>0</v>
      </c>
      <c r="J9">
        <v>100</v>
      </c>
    </row>
    <row r="10" spans="1:10" x14ac:dyDescent="0.3">
      <c r="A10" s="1">
        <v>44980.701307870368</v>
      </c>
      <c r="B10">
        <v>83.2</v>
      </c>
      <c r="C10">
        <v>10.9</v>
      </c>
      <c r="D10">
        <v>0</v>
      </c>
      <c r="E10">
        <v>5.9</v>
      </c>
      <c r="F10">
        <v>0</v>
      </c>
      <c r="J10">
        <v>94.100000000000009</v>
      </c>
    </row>
    <row r="11" spans="1:10" x14ac:dyDescent="0.3">
      <c r="A11" s="1">
        <v>44980.701319444444</v>
      </c>
      <c r="B11">
        <v>0</v>
      </c>
      <c r="C11">
        <v>0</v>
      </c>
      <c r="D11">
        <v>0</v>
      </c>
      <c r="E11">
        <v>100</v>
      </c>
      <c r="F11">
        <v>0</v>
      </c>
      <c r="J11">
        <v>0</v>
      </c>
    </row>
    <row r="13" spans="1:10" x14ac:dyDescent="0.3">
      <c r="A13" t="s">
        <v>803</v>
      </c>
      <c r="B13">
        <v>46.85</v>
      </c>
      <c r="C13">
        <v>15.73</v>
      </c>
      <c r="D13">
        <v>0</v>
      </c>
      <c r="E13">
        <v>37.409999999999997</v>
      </c>
      <c r="F13">
        <v>0</v>
      </c>
      <c r="G13" t="e">
        <v>#DIV/0!</v>
      </c>
      <c r="H13" t="e">
        <v>#DIV/0!</v>
      </c>
      <c r="I13" t="e">
        <v>#DIV/0!</v>
      </c>
      <c r="J13">
        <v>62.580000000000005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46A1F-C267-466D-8B85-580BEA148FA7}">
  <dimension ref="A1:J13"/>
  <sheetViews>
    <sheetView workbookViewId="0">
      <pane xSplit="1" ySplit="1" topLeftCell="B13" activePane="bottomRight" state="frozen"/>
      <selection pane="topRight" activeCell="B1" sqref="B1"/>
      <selection pane="bottomLeft" activeCell="A2" sqref="A2"/>
      <selection pane="bottomRight"/>
    </sheetView>
  </sheetViews>
  <sheetFormatPr defaultRowHeight="14.4" x14ac:dyDescent="0.3"/>
  <sheetData>
    <row r="1" spans="1:10" x14ac:dyDescent="0.3">
      <c r="A1" t="s">
        <v>668</v>
      </c>
      <c r="B1" t="s">
        <v>652</v>
      </c>
      <c r="C1" t="s">
        <v>653</v>
      </c>
      <c r="D1" t="s">
        <v>654</v>
      </c>
      <c r="E1" t="s">
        <v>655</v>
      </c>
      <c r="F1" t="s">
        <v>656</v>
      </c>
      <c r="J1" t="s">
        <v>802</v>
      </c>
    </row>
    <row r="2" spans="1:10" x14ac:dyDescent="0.3">
      <c r="A2" s="1">
        <v>44980.701215277775</v>
      </c>
      <c r="B2">
        <v>1.5</v>
      </c>
      <c r="C2">
        <v>0.7</v>
      </c>
      <c r="D2">
        <v>0</v>
      </c>
      <c r="E2">
        <v>97.8</v>
      </c>
      <c r="F2">
        <v>0</v>
      </c>
      <c r="J2">
        <v>2.2000000000000002</v>
      </c>
    </row>
    <row r="3" spans="1:10" x14ac:dyDescent="0.3">
      <c r="A3" s="1">
        <v>44980.701226851852</v>
      </c>
      <c r="B3">
        <v>0</v>
      </c>
      <c r="C3">
        <v>0</v>
      </c>
      <c r="D3">
        <v>0</v>
      </c>
      <c r="E3">
        <v>100</v>
      </c>
      <c r="F3">
        <v>0</v>
      </c>
      <c r="J3">
        <v>0</v>
      </c>
    </row>
    <row r="4" spans="1:10" x14ac:dyDescent="0.3">
      <c r="A4" s="1">
        <v>44980.701238425929</v>
      </c>
      <c r="B4">
        <v>8.1999999999999993</v>
      </c>
      <c r="C4">
        <v>11.2</v>
      </c>
      <c r="D4">
        <v>0</v>
      </c>
      <c r="E4">
        <v>80.599999999999994</v>
      </c>
      <c r="F4">
        <v>0</v>
      </c>
      <c r="J4">
        <v>19.399999999999999</v>
      </c>
    </row>
    <row r="5" spans="1:10" x14ac:dyDescent="0.3">
      <c r="A5" s="1">
        <v>44980.701249999998</v>
      </c>
      <c r="B5">
        <v>70</v>
      </c>
      <c r="C5">
        <v>30</v>
      </c>
      <c r="D5">
        <v>0</v>
      </c>
      <c r="E5">
        <v>0</v>
      </c>
      <c r="F5">
        <v>0</v>
      </c>
      <c r="J5">
        <v>100</v>
      </c>
    </row>
    <row r="6" spans="1:10" x14ac:dyDescent="0.3">
      <c r="A6" s="1">
        <v>44980.701261574075</v>
      </c>
      <c r="B6">
        <v>74</v>
      </c>
      <c r="C6">
        <v>26</v>
      </c>
      <c r="D6">
        <v>0</v>
      </c>
      <c r="E6">
        <v>0</v>
      </c>
      <c r="F6">
        <v>0</v>
      </c>
      <c r="J6">
        <v>100</v>
      </c>
    </row>
    <row r="7" spans="1:10" x14ac:dyDescent="0.3">
      <c r="A7" s="1">
        <v>44980.701273148145</v>
      </c>
      <c r="B7">
        <v>76</v>
      </c>
      <c r="C7">
        <v>24</v>
      </c>
      <c r="D7">
        <v>0</v>
      </c>
      <c r="E7">
        <v>0</v>
      </c>
      <c r="F7">
        <v>0</v>
      </c>
      <c r="J7">
        <v>100</v>
      </c>
    </row>
    <row r="8" spans="1:10" x14ac:dyDescent="0.3">
      <c r="A8" s="1">
        <v>44980.701284722221</v>
      </c>
      <c r="B8">
        <v>69.3</v>
      </c>
      <c r="C8">
        <v>30.7</v>
      </c>
      <c r="D8">
        <v>0</v>
      </c>
      <c r="E8">
        <v>0</v>
      </c>
      <c r="F8">
        <v>0</v>
      </c>
      <c r="J8">
        <v>100</v>
      </c>
    </row>
    <row r="9" spans="1:10" x14ac:dyDescent="0.3">
      <c r="A9" s="1">
        <v>44980.701296296298</v>
      </c>
      <c r="B9">
        <v>82</v>
      </c>
      <c r="C9">
        <v>18</v>
      </c>
      <c r="D9">
        <v>0</v>
      </c>
      <c r="E9">
        <v>0</v>
      </c>
      <c r="F9">
        <v>0</v>
      </c>
      <c r="J9">
        <v>100</v>
      </c>
    </row>
    <row r="10" spans="1:10" x14ac:dyDescent="0.3">
      <c r="A10" s="1">
        <v>44980.701307870368</v>
      </c>
      <c r="B10">
        <v>84</v>
      </c>
      <c r="C10">
        <v>10</v>
      </c>
      <c r="D10">
        <v>0</v>
      </c>
      <c r="E10">
        <v>6</v>
      </c>
      <c r="F10">
        <v>0</v>
      </c>
      <c r="J10">
        <v>94</v>
      </c>
    </row>
    <row r="11" spans="1:10" x14ac:dyDescent="0.3">
      <c r="A11" s="1">
        <v>44980.701319444444</v>
      </c>
      <c r="B11">
        <v>0</v>
      </c>
      <c r="C11">
        <v>0</v>
      </c>
      <c r="D11">
        <v>0</v>
      </c>
      <c r="E11">
        <v>100</v>
      </c>
      <c r="F11">
        <v>0</v>
      </c>
      <c r="J11">
        <v>0</v>
      </c>
    </row>
    <row r="13" spans="1:10" x14ac:dyDescent="0.3">
      <c r="A13" t="s">
        <v>803</v>
      </c>
      <c r="B13">
        <v>46.5</v>
      </c>
      <c r="C13">
        <v>15.060000000000002</v>
      </c>
      <c r="D13">
        <v>0</v>
      </c>
      <c r="E13">
        <v>38.44</v>
      </c>
      <c r="F13">
        <v>0</v>
      </c>
      <c r="G13" t="e">
        <v>#DIV/0!</v>
      </c>
      <c r="H13" t="e">
        <v>#DIV/0!</v>
      </c>
      <c r="I13" t="e">
        <v>#DIV/0!</v>
      </c>
      <c r="J13">
        <v>61.56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1D869-6B50-461C-BBC1-EFF3167D5C7E}">
  <dimension ref="A1:J13"/>
  <sheetViews>
    <sheetView workbookViewId="0">
      <pane xSplit="1" ySplit="1" topLeftCell="B13" activePane="bottomRight" state="frozen"/>
      <selection pane="topRight" activeCell="B1" sqref="B1"/>
      <selection pane="bottomLeft" activeCell="A2" sqref="A2"/>
      <selection pane="bottomRight"/>
    </sheetView>
  </sheetViews>
  <sheetFormatPr defaultRowHeight="14.4" x14ac:dyDescent="0.3"/>
  <sheetData>
    <row r="1" spans="1:10" x14ac:dyDescent="0.3">
      <c r="A1" t="s">
        <v>670</v>
      </c>
      <c r="B1" t="s">
        <v>652</v>
      </c>
      <c r="C1" t="s">
        <v>653</v>
      </c>
      <c r="D1" t="s">
        <v>654</v>
      </c>
      <c r="E1" t="s">
        <v>655</v>
      </c>
      <c r="F1" t="s">
        <v>656</v>
      </c>
      <c r="J1" t="s">
        <v>802</v>
      </c>
    </row>
    <row r="2" spans="1:10" x14ac:dyDescent="0.3">
      <c r="A2" s="1">
        <v>44980.701215277775</v>
      </c>
      <c r="B2">
        <v>0.8</v>
      </c>
      <c r="C2">
        <v>2.2999999999999998</v>
      </c>
      <c r="D2">
        <v>0</v>
      </c>
      <c r="E2">
        <v>97</v>
      </c>
      <c r="F2">
        <v>0</v>
      </c>
      <c r="J2">
        <v>3.0999999999999996</v>
      </c>
    </row>
    <row r="3" spans="1:10" x14ac:dyDescent="0.3">
      <c r="A3" s="1">
        <v>44980.701226851852</v>
      </c>
      <c r="B3">
        <v>0</v>
      </c>
      <c r="C3">
        <v>0</v>
      </c>
      <c r="D3">
        <v>0</v>
      </c>
      <c r="E3">
        <v>100</v>
      </c>
      <c r="F3">
        <v>0</v>
      </c>
      <c r="J3">
        <v>0</v>
      </c>
    </row>
    <row r="4" spans="1:10" x14ac:dyDescent="0.3">
      <c r="A4" s="1">
        <v>44980.701238425929</v>
      </c>
      <c r="B4">
        <v>4</v>
      </c>
      <c r="C4">
        <v>19.8</v>
      </c>
      <c r="D4">
        <v>0</v>
      </c>
      <c r="E4">
        <v>76.2</v>
      </c>
      <c r="F4">
        <v>0</v>
      </c>
      <c r="J4">
        <v>23.8</v>
      </c>
    </row>
    <row r="5" spans="1:10" x14ac:dyDescent="0.3">
      <c r="A5" s="1">
        <v>44980.701249999998</v>
      </c>
      <c r="B5">
        <v>64</v>
      </c>
      <c r="C5">
        <v>36</v>
      </c>
      <c r="D5">
        <v>0</v>
      </c>
      <c r="E5">
        <v>0</v>
      </c>
      <c r="F5">
        <v>0</v>
      </c>
      <c r="J5">
        <v>100</v>
      </c>
    </row>
    <row r="6" spans="1:10" x14ac:dyDescent="0.3">
      <c r="A6" s="1">
        <v>44980.701261574075</v>
      </c>
      <c r="B6">
        <v>72</v>
      </c>
      <c r="C6">
        <v>28</v>
      </c>
      <c r="D6">
        <v>0</v>
      </c>
      <c r="E6">
        <v>0</v>
      </c>
      <c r="F6">
        <v>0</v>
      </c>
      <c r="J6">
        <v>100</v>
      </c>
    </row>
    <row r="7" spans="1:10" x14ac:dyDescent="0.3">
      <c r="A7" s="1">
        <v>44980.701273148145</v>
      </c>
      <c r="B7">
        <v>78.2</v>
      </c>
      <c r="C7">
        <v>21.8</v>
      </c>
      <c r="D7">
        <v>0</v>
      </c>
      <c r="E7">
        <v>0</v>
      </c>
      <c r="F7">
        <v>0</v>
      </c>
      <c r="J7">
        <v>100</v>
      </c>
    </row>
    <row r="8" spans="1:10" x14ac:dyDescent="0.3">
      <c r="A8" s="1">
        <v>44980.701284722221</v>
      </c>
      <c r="B8">
        <v>76.8</v>
      </c>
      <c r="C8">
        <v>23.2</v>
      </c>
      <c r="D8">
        <v>0</v>
      </c>
      <c r="E8">
        <v>0</v>
      </c>
      <c r="F8">
        <v>0</v>
      </c>
      <c r="J8">
        <v>100</v>
      </c>
    </row>
    <row r="9" spans="1:10" x14ac:dyDescent="0.3">
      <c r="A9" s="1">
        <v>44980.701296296298</v>
      </c>
      <c r="B9">
        <v>77.2</v>
      </c>
      <c r="C9">
        <v>22.8</v>
      </c>
      <c r="D9">
        <v>0</v>
      </c>
      <c r="E9">
        <v>0</v>
      </c>
      <c r="F9">
        <v>0</v>
      </c>
      <c r="J9">
        <v>100</v>
      </c>
    </row>
    <row r="10" spans="1:10" x14ac:dyDescent="0.3">
      <c r="A10" s="1">
        <v>44980.701307870368</v>
      </c>
      <c r="B10">
        <v>85.9</v>
      </c>
      <c r="C10">
        <v>10.1</v>
      </c>
      <c r="D10">
        <v>0</v>
      </c>
      <c r="E10">
        <v>4</v>
      </c>
      <c r="F10">
        <v>0</v>
      </c>
      <c r="J10">
        <v>96</v>
      </c>
    </row>
    <row r="11" spans="1:10" x14ac:dyDescent="0.3">
      <c r="A11" s="1">
        <v>44980.701319444444</v>
      </c>
      <c r="B11">
        <v>0</v>
      </c>
      <c r="C11">
        <v>0</v>
      </c>
      <c r="D11">
        <v>0</v>
      </c>
      <c r="E11">
        <v>100</v>
      </c>
      <c r="F11">
        <v>0</v>
      </c>
      <c r="J11">
        <v>0</v>
      </c>
    </row>
    <row r="13" spans="1:10" x14ac:dyDescent="0.3">
      <c r="A13" t="s">
        <v>803</v>
      </c>
      <c r="B13">
        <v>45.89</v>
      </c>
      <c r="C13">
        <v>16.399999999999999</v>
      </c>
      <c r="D13">
        <v>0</v>
      </c>
      <c r="E13">
        <v>37.72</v>
      </c>
      <c r="F13">
        <v>0</v>
      </c>
      <c r="G13" t="e">
        <v>#DIV/0!</v>
      </c>
      <c r="H13" t="e">
        <v>#DIV/0!</v>
      </c>
      <c r="I13" t="e">
        <v>#DIV/0!</v>
      </c>
      <c r="J13">
        <v>62.29</v>
      </c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AF742-E767-4588-966F-39782777E057}">
  <dimension ref="A1:J13"/>
  <sheetViews>
    <sheetView workbookViewId="0">
      <pane xSplit="1" ySplit="1" topLeftCell="B13" activePane="bottomRight" state="frozen"/>
      <selection pane="topRight" activeCell="B1" sqref="B1"/>
      <selection pane="bottomLeft" activeCell="A2" sqref="A2"/>
      <selection pane="bottomRight"/>
    </sheetView>
  </sheetViews>
  <sheetFormatPr defaultRowHeight="14.4" x14ac:dyDescent="0.3"/>
  <sheetData>
    <row r="1" spans="1:10" x14ac:dyDescent="0.3">
      <c r="A1" t="s">
        <v>672</v>
      </c>
      <c r="B1" t="s">
        <v>652</v>
      </c>
      <c r="C1" t="s">
        <v>653</v>
      </c>
      <c r="D1" t="s">
        <v>654</v>
      </c>
      <c r="E1" t="s">
        <v>655</v>
      </c>
      <c r="F1" t="s">
        <v>656</v>
      </c>
      <c r="J1" t="s">
        <v>802</v>
      </c>
    </row>
    <row r="2" spans="1:10" x14ac:dyDescent="0.3">
      <c r="A2" s="1">
        <v>44980.701215277775</v>
      </c>
      <c r="B2">
        <v>11.3</v>
      </c>
      <c r="C2">
        <v>3</v>
      </c>
      <c r="D2">
        <v>0</v>
      </c>
      <c r="E2">
        <v>85.7</v>
      </c>
      <c r="F2">
        <v>0</v>
      </c>
      <c r="J2">
        <v>14.3</v>
      </c>
    </row>
    <row r="3" spans="1:10" x14ac:dyDescent="0.3">
      <c r="A3" s="1">
        <v>44980.701226851852</v>
      </c>
      <c r="B3">
        <v>0</v>
      </c>
      <c r="C3">
        <v>0</v>
      </c>
      <c r="D3">
        <v>0</v>
      </c>
      <c r="E3">
        <v>100</v>
      </c>
      <c r="F3">
        <v>0</v>
      </c>
      <c r="J3">
        <v>0</v>
      </c>
    </row>
    <row r="4" spans="1:10" x14ac:dyDescent="0.3">
      <c r="A4" s="1">
        <v>44980.701238425929</v>
      </c>
      <c r="B4">
        <v>5.2</v>
      </c>
      <c r="C4">
        <v>17.5</v>
      </c>
      <c r="D4">
        <v>0</v>
      </c>
      <c r="E4">
        <v>77.3</v>
      </c>
      <c r="F4">
        <v>0</v>
      </c>
      <c r="J4">
        <v>22.7</v>
      </c>
    </row>
    <row r="5" spans="1:10" x14ac:dyDescent="0.3">
      <c r="A5" s="1">
        <v>44980.701249999998</v>
      </c>
      <c r="B5">
        <v>72</v>
      </c>
      <c r="C5">
        <v>28</v>
      </c>
      <c r="D5">
        <v>0</v>
      </c>
      <c r="E5">
        <v>0</v>
      </c>
      <c r="F5">
        <v>0</v>
      </c>
      <c r="J5">
        <v>100</v>
      </c>
    </row>
    <row r="6" spans="1:10" x14ac:dyDescent="0.3">
      <c r="A6" s="1">
        <v>44980.701261574075</v>
      </c>
      <c r="B6">
        <v>78</v>
      </c>
      <c r="C6">
        <v>22</v>
      </c>
      <c r="D6">
        <v>0</v>
      </c>
      <c r="E6">
        <v>0</v>
      </c>
      <c r="F6">
        <v>0</v>
      </c>
      <c r="J6">
        <v>100</v>
      </c>
    </row>
    <row r="7" spans="1:10" x14ac:dyDescent="0.3">
      <c r="A7" s="1">
        <v>44980.701273148145</v>
      </c>
      <c r="B7">
        <v>80</v>
      </c>
      <c r="C7">
        <v>20</v>
      </c>
      <c r="D7">
        <v>0</v>
      </c>
      <c r="E7">
        <v>0</v>
      </c>
      <c r="F7">
        <v>0</v>
      </c>
      <c r="J7">
        <v>100</v>
      </c>
    </row>
    <row r="8" spans="1:10" x14ac:dyDescent="0.3">
      <c r="A8" s="1">
        <v>44980.701284722221</v>
      </c>
      <c r="B8">
        <v>80.2</v>
      </c>
      <c r="C8">
        <v>19.8</v>
      </c>
      <c r="D8">
        <v>0</v>
      </c>
      <c r="E8">
        <v>0</v>
      </c>
      <c r="F8">
        <v>0</v>
      </c>
      <c r="J8">
        <v>100</v>
      </c>
    </row>
    <row r="9" spans="1:10" x14ac:dyDescent="0.3">
      <c r="A9" s="1">
        <v>44980.701296296298</v>
      </c>
      <c r="B9">
        <v>82.8</v>
      </c>
      <c r="C9">
        <v>17.2</v>
      </c>
      <c r="D9">
        <v>0</v>
      </c>
      <c r="E9">
        <v>0</v>
      </c>
      <c r="F9">
        <v>0</v>
      </c>
      <c r="J9">
        <v>100</v>
      </c>
    </row>
    <row r="10" spans="1:10" x14ac:dyDescent="0.3">
      <c r="A10" s="1">
        <v>44980.701307870368</v>
      </c>
      <c r="B10">
        <v>84.8</v>
      </c>
      <c r="C10">
        <v>10.1</v>
      </c>
      <c r="D10">
        <v>0</v>
      </c>
      <c r="E10">
        <v>5.0999999999999996</v>
      </c>
      <c r="F10">
        <v>0</v>
      </c>
      <c r="J10">
        <v>94.899999999999991</v>
      </c>
    </row>
    <row r="11" spans="1:10" x14ac:dyDescent="0.3">
      <c r="A11" s="1">
        <v>44980.701319444444</v>
      </c>
      <c r="B11">
        <v>0</v>
      </c>
      <c r="C11">
        <v>0</v>
      </c>
      <c r="D11">
        <v>0</v>
      </c>
      <c r="E11">
        <v>100</v>
      </c>
      <c r="F11">
        <v>0</v>
      </c>
      <c r="J11">
        <v>0</v>
      </c>
    </row>
    <row r="13" spans="1:10" x14ac:dyDescent="0.3">
      <c r="A13" t="s">
        <v>803</v>
      </c>
      <c r="B13">
        <v>49.43</v>
      </c>
      <c r="C13">
        <v>13.76</v>
      </c>
      <c r="D13">
        <v>0</v>
      </c>
      <c r="E13">
        <v>36.81</v>
      </c>
      <c r="F13">
        <v>0</v>
      </c>
      <c r="G13" t="e">
        <v>#DIV/0!</v>
      </c>
      <c r="H13" t="e">
        <v>#DIV/0!</v>
      </c>
      <c r="I13" t="e">
        <v>#DIV/0!</v>
      </c>
      <c r="J13">
        <v>63.19</v>
      </c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F1590-5959-4784-AF71-F40010F7CE61}">
  <dimension ref="A1:J13"/>
  <sheetViews>
    <sheetView workbookViewId="0">
      <pane xSplit="1" ySplit="1" topLeftCell="B13" activePane="bottomRight" state="frozen"/>
      <selection pane="topRight" activeCell="B1" sqref="B1"/>
      <selection pane="bottomLeft" activeCell="A2" sqref="A2"/>
      <selection pane="bottomRight"/>
    </sheetView>
  </sheetViews>
  <sheetFormatPr defaultRowHeight="14.4" x14ac:dyDescent="0.3"/>
  <sheetData>
    <row r="1" spans="1:10" x14ac:dyDescent="0.3">
      <c r="A1" t="s">
        <v>674</v>
      </c>
      <c r="B1" t="s">
        <v>652</v>
      </c>
      <c r="C1" t="s">
        <v>653</v>
      </c>
      <c r="D1" t="s">
        <v>654</v>
      </c>
      <c r="E1" t="s">
        <v>655</v>
      </c>
      <c r="F1" t="s">
        <v>656</v>
      </c>
      <c r="J1" t="s">
        <v>802</v>
      </c>
    </row>
    <row r="2" spans="1:10" x14ac:dyDescent="0.3">
      <c r="A2" s="1">
        <v>44980.701215277775</v>
      </c>
      <c r="B2">
        <v>0.8</v>
      </c>
      <c r="C2">
        <v>1.5</v>
      </c>
      <c r="D2">
        <v>0</v>
      </c>
      <c r="E2">
        <v>97.7</v>
      </c>
      <c r="F2">
        <v>0</v>
      </c>
      <c r="J2">
        <v>2.2999999999999998</v>
      </c>
    </row>
    <row r="3" spans="1:10" x14ac:dyDescent="0.3">
      <c r="A3" s="1">
        <v>44980.701226851852</v>
      </c>
      <c r="B3">
        <v>0</v>
      </c>
      <c r="C3">
        <v>0</v>
      </c>
      <c r="D3">
        <v>0</v>
      </c>
      <c r="E3">
        <v>100</v>
      </c>
      <c r="F3">
        <v>0</v>
      </c>
      <c r="J3">
        <v>0</v>
      </c>
    </row>
    <row r="4" spans="1:10" x14ac:dyDescent="0.3">
      <c r="A4" s="1">
        <v>44980.701238425929</v>
      </c>
      <c r="B4">
        <v>8.1999999999999993</v>
      </c>
      <c r="C4">
        <v>10.199999999999999</v>
      </c>
      <c r="D4">
        <v>0</v>
      </c>
      <c r="E4">
        <v>81.599999999999994</v>
      </c>
      <c r="F4">
        <v>0</v>
      </c>
      <c r="J4">
        <v>18.399999999999999</v>
      </c>
    </row>
    <row r="5" spans="1:10" x14ac:dyDescent="0.3">
      <c r="A5" s="1">
        <v>44980.701249999998</v>
      </c>
      <c r="B5">
        <v>71</v>
      </c>
      <c r="C5">
        <v>29</v>
      </c>
      <c r="D5">
        <v>0</v>
      </c>
      <c r="E5">
        <v>0</v>
      </c>
      <c r="F5">
        <v>0</v>
      </c>
      <c r="J5">
        <v>100</v>
      </c>
    </row>
    <row r="6" spans="1:10" x14ac:dyDescent="0.3">
      <c r="A6" s="1">
        <v>44980.701261574075</v>
      </c>
      <c r="B6">
        <v>80</v>
      </c>
      <c r="C6">
        <v>20</v>
      </c>
      <c r="D6">
        <v>0</v>
      </c>
      <c r="E6">
        <v>0</v>
      </c>
      <c r="F6">
        <v>0</v>
      </c>
      <c r="J6">
        <v>100</v>
      </c>
    </row>
    <row r="7" spans="1:10" x14ac:dyDescent="0.3">
      <c r="A7" s="1">
        <v>44980.701273148145</v>
      </c>
      <c r="B7">
        <v>79</v>
      </c>
      <c r="C7">
        <v>21</v>
      </c>
      <c r="D7">
        <v>0</v>
      </c>
      <c r="E7">
        <v>0</v>
      </c>
      <c r="F7">
        <v>0</v>
      </c>
      <c r="J7">
        <v>100</v>
      </c>
    </row>
    <row r="8" spans="1:10" x14ac:dyDescent="0.3">
      <c r="A8" s="1">
        <v>44980.701284722221</v>
      </c>
      <c r="B8">
        <v>79</v>
      </c>
      <c r="C8">
        <v>21</v>
      </c>
      <c r="D8">
        <v>0</v>
      </c>
      <c r="E8">
        <v>0</v>
      </c>
      <c r="F8">
        <v>0</v>
      </c>
      <c r="J8">
        <v>100</v>
      </c>
    </row>
    <row r="9" spans="1:10" x14ac:dyDescent="0.3">
      <c r="A9" s="1">
        <v>44980.701296296298</v>
      </c>
      <c r="B9">
        <v>82</v>
      </c>
      <c r="C9">
        <v>18</v>
      </c>
      <c r="D9">
        <v>0</v>
      </c>
      <c r="E9">
        <v>0</v>
      </c>
      <c r="F9">
        <v>0</v>
      </c>
      <c r="J9">
        <v>100</v>
      </c>
    </row>
    <row r="10" spans="1:10" x14ac:dyDescent="0.3">
      <c r="A10" s="1">
        <v>44980.701307870368</v>
      </c>
      <c r="B10">
        <v>82.2</v>
      </c>
      <c r="C10">
        <v>13.9</v>
      </c>
      <c r="D10">
        <v>0</v>
      </c>
      <c r="E10">
        <v>4</v>
      </c>
      <c r="F10">
        <v>0</v>
      </c>
      <c r="J10">
        <v>96.100000000000009</v>
      </c>
    </row>
    <row r="11" spans="1:10" x14ac:dyDescent="0.3">
      <c r="A11" s="1">
        <v>44980.701319444444</v>
      </c>
      <c r="B11">
        <v>1</v>
      </c>
      <c r="C11">
        <v>0</v>
      </c>
      <c r="D11">
        <v>0</v>
      </c>
      <c r="E11">
        <v>99</v>
      </c>
      <c r="F11">
        <v>0</v>
      </c>
      <c r="J11">
        <v>1</v>
      </c>
    </row>
    <row r="13" spans="1:10" x14ac:dyDescent="0.3">
      <c r="A13" t="s">
        <v>803</v>
      </c>
      <c r="B13">
        <v>48.32</v>
      </c>
      <c r="C13">
        <v>13.459999999999999</v>
      </c>
      <c r="D13">
        <v>0</v>
      </c>
      <c r="E13">
        <v>38.229999999999997</v>
      </c>
      <c r="F13">
        <v>0</v>
      </c>
      <c r="G13" t="e">
        <v>#DIV/0!</v>
      </c>
      <c r="H13" t="e">
        <v>#DIV/0!</v>
      </c>
      <c r="I13" t="e">
        <v>#DIV/0!</v>
      </c>
      <c r="J13">
        <v>61.780000000000008</v>
      </c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8FB62-44D8-4ADC-8AA3-917F1AEDE94E}">
  <dimension ref="A1:J13"/>
  <sheetViews>
    <sheetView workbookViewId="0">
      <pane xSplit="1" ySplit="1" topLeftCell="B13" activePane="bottomRight" state="frozen"/>
      <selection pane="topRight" activeCell="B1" sqref="B1"/>
      <selection pane="bottomLeft" activeCell="A2" sqref="A2"/>
      <selection pane="bottomRight"/>
    </sheetView>
  </sheetViews>
  <sheetFormatPr defaultRowHeight="14.4" x14ac:dyDescent="0.3"/>
  <sheetData>
    <row r="1" spans="1:10" x14ac:dyDescent="0.3">
      <c r="A1" t="s">
        <v>676</v>
      </c>
      <c r="B1" t="s">
        <v>652</v>
      </c>
      <c r="C1" t="s">
        <v>653</v>
      </c>
      <c r="D1" t="s">
        <v>654</v>
      </c>
      <c r="E1" t="s">
        <v>655</v>
      </c>
      <c r="F1" t="s">
        <v>656</v>
      </c>
      <c r="J1" t="s">
        <v>802</v>
      </c>
    </row>
    <row r="2" spans="1:10" x14ac:dyDescent="0.3">
      <c r="A2" s="1">
        <v>44980.701215277775</v>
      </c>
      <c r="B2">
        <v>3</v>
      </c>
      <c r="C2">
        <v>3</v>
      </c>
      <c r="D2">
        <v>0</v>
      </c>
      <c r="E2">
        <v>94</v>
      </c>
      <c r="F2">
        <v>0</v>
      </c>
      <c r="J2">
        <v>6</v>
      </c>
    </row>
    <row r="3" spans="1:10" x14ac:dyDescent="0.3">
      <c r="A3" s="1">
        <v>44980.701226851852</v>
      </c>
      <c r="B3">
        <v>0</v>
      </c>
      <c r="C3">
        <v>0</v>
      </c>
      <c r="D3">
        <v>0</v>
      </c>
      <c r="E3">
        <v>100</v>
      </c>
      <c r="F3">
        <v>0</v>
      </c>
      <c r="J3">
        <v>0</v>
      </c>
    </row>
    <row r="4" spans="1:10" x14ac:dyDescent="0.3">
      <c r="A4" s="1">
        <v>44980.701238425929</v>
      </c>
      <c r="B4">
        <v>5.0999999999999996</v>
      </c>
      <c r="C4">
        <v>15.2</v>
      </c>
      <c r="D4">
        <v>0</v>
      </c>
      <c r="E4">
        <v>79.8</v>
      </c>
      <c r="F4">
        <v>0</v>
      </c>
      <c r="J4">
        <v>20.299999999999997</v>
      </c>
    </row>
    <row r="5" spans="1:10" x14ac:dyDescent="0.3">
      <c r="A5" s="1">
        <v>44980.701249999998</v>
      </c>
      <c r="B5">
        <v>73.3</v>
      </c>
      <c r="C5">
        <v>26.7</v>
      </c>
      <c r="D5">
        <v>0</v>
      </c>
      <c r="E5">
        <v>0</v>
      </c>
      <c r="F5">
        <v>0</v>
      </c>
      <c r="J5">
        <v>100</v>
      </c>
    </row>
    <row r="6" spans="1:10" x14ac:dyDescent="0.3">
      <c r="A6" s="1">
        <v>44980.701261574075</v>
      </c>
      <c r="B6">
        <v>73.7</v>
      </c>
      <c r="C6">
        <v>26.3</v>
      </c>
      <c r="D6">
        <v>0</v>
      </c>
      <c r="E6">
        <v>0</v>
      </c>
      <c r="F6">
        <v>0</v>
      </c>
      <c r="J6">
        <v>100</v>
      </c>
    </row>
    <row r="7" spans="1:10" x14ac:dyDescent="0.3">
      <c r="A7" s="1">
        <v>44980.701273148145</v>
      </c>
      <c r="B7">
        <v>75</v>
      </c>
      <c r="C7">
        <v>25</v>
      </c>
      <c r="D7">
        <v>0</v>
      </c>
      <c r="E7">
        <v>0</v>
      </c>
      <c r="F7">
        <v>0</v>
      </c>
      <c r="J7">
        <v>100</v>
      </c>
    </row>
    <row r="8" spans="1:10" x14ac:dyDescent="0.3">
      <c r="A8" s="1">
        <v>44980.701284722221</v>
      </c>
      <c r="B8">
        <v>71</v>
      </c>
      <c r="C8">
        <v>29</v>
      </c>
      <c r="D8">
        <v>0</v>
      </c>
      <c r="E8">
        <v>0</v>
      </c>
      <c r="F8">
        <v>0</v>
      </c>
      <c r="J8">
        <v>100</v>
      </c>
    </row>
    <row r="9" spans="1:10" x14ac:dyDescent="0.3">
      <c r="A9" s="1">
        <v>44980.701296296298</v>
      </c>
      <c r="B9">
        <v>78.2</v>
      </c>
      <c r="C9">
        <v>21.8</v>
      </c>
      <c r="D9">
        <v>0</v>
      </c>
      <c r="E9">
        <v>0</v>
      </c>
      <c r="F9">
        <v>0</v>
      </c>
      <c r="J9">
        <v>100</v>
      </c>
    </row>
    <row r="10" spans="1:10" x14ac:dyDescent="0.3">
      <c r="A10" s="1">
        <v>44980.701307870368</v>
      </c>
      <c r="B10">
        <v>86.9</v>
      </c>
      <c r="C10">
        <v>8.1</v>
      </c>
      <c r="D10">
        <v>0</v>
      </c>
      <c r="E10">
        <v>5.0999999999999996</v>
      </c>
      <c r="F10">
        <v>0</v>
      </c>
      <c r="J10">
        <v>95</v>
      </c>
    </row>
    <row r="11" spans="1:10" x14ac:dyDescent="0.3">
      <c r="A11" s="1">
        <v>44980.701319444444</v>
      </c>
      <c r="B11">
        <v>0</v>
      </c>
      <c r="C11">
        <v>0</v>
      </c>
      <c r="D11">
        <v>0</v>
      </c>
      <c r="E11">
        <v>100</v>
      </c>
      <c r="F11">
        <v>0</v>
      </c>
      <c r="J11">
        <v>0</v>
      </c>
    </row>
    <row r="13" spans="1:10" x14ac:dyDescent="0.3">
      <c r="A13" t="s">
        <v>803</v>
      </c>
      <c r="B13">
        <v>46.620000000000005</v>
      </c>
      <c r="C13">
        <v>15.51</v>
      </c>
      <c r="D13">
        <v>0</v>
      </c>
      <c r="E13">
        <v>37.89</v>
      </c>
      <c r="F13">
        <v>0</v>
      </c>
      <c r="G13" t="e">
        <v>#DIV/0!</v>
      </c>
      <c r="H13" t="e">
        <v>#DIV/0!</v>
      </c>
      <c r="I13" t="e">
        <v>#DIV/0!</v>
      </c>
      <c r="J13">
        <v>62.129999999999995</v>
      </c>
    </row>
  </sheetData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B9921-5C5A-4629-9BF5-C506DBAA9F83}">
  <dimension ref="A1:J13"/>
  <sheetViews>
    <sheetView workbookViewId="0">
      <pane xSplit="1" ySplit="1" topLeftCell="B13" activePane="bottomRight" state="frozen"/>
      <selection pane="topRight" activeCell="B1" sqref="B1"/>
      <selection pane="bottomLeft" activeCell="A2" sqref="A2"/>
      <selection pane="bottomRight"/>
    </sheetView>
  </sheetViews>
  <sheetFormatPr defaultRowHeight="14.4" x14ac:dyDescent="0.3"/>
  <sheetData>
    <row r="1" spans="1:10" x14ac:dyDescent="0.3">
      <c r="A1" t="s">
        <v>678</v>
      </c>
      <c r="B1" t="s">
        <v>652</v>
      </c>
      <c r="C1" t="s">
        <v>653</v>
      </c>
      <c r="D1" t="s">
        <v>654</v>
      </c>
      <c r="E1" t="s">
        <v>655</v>
      </c>
      <c r="F1" t="s">
        <v>656</v>
      </c>
      <c r="J1" t="s">
        <v>802</v>
      </c>
    </row>
    <row r="2" spans="1:10" x14ac:dyDescent="0.3">
      <c r="A2" s="1">
        <v>44980.701215277775</v>
      </c>
      <c r="B2">
        <v>0.7</v>
      </c>
      <c r="C2">
        <v>2.2000000000000002</v>
      </c>
      <c r="D2">
        <v>0</v>
      </c>
      <c r="E2">
        <v>97</v>
      </c>
      <c r="F2">
        <v>0</v>
      </c>
      <c r="J2">
        <v>2.9000000000000004</v>
      </c>
    </row>
    <row r="3" spans="1:10" x14ac:dyDescent="0.3">
      <c r="A3" s="1">
        <v>44980.701226851852</v>
      </c>
      <c r="B3">
        <v>0</v>
      </c>
      <c r="C3">
        <v>0</v>
      </c>
      <c r="D3">
        <v>0</v>
      </c>
      <c r="E3">
        <v>100</v>
      </c>
      <c r="F3">
        <v>0</v>
      </c>
      <c r="J3">
        <v>0</v>
      </c>
    </row>
    <row r="4" spans="1:10" x14ac:dyDescent="0.3">
      <c r="A4" s="1">
        <v>44980.701238425929</v>
      </c>
      <c r="B4">
        <v>7.1</v>
      </c>
      <c r="C4">
        <v>13.1</v>
      </c>
      <c r="D4">
        <v>0</v>
      </c>
      <c r="E4">
        <v>79.8</v>
      </c>
      <c r="F4">
        <v>0</v>
      </c>
      <c r="J4">
        <v>20.2</v>
      </c>
    </row>
    <row r="5" spans="1:10" x14ac:dyDescent="0.3">
      <c r="A5" s="1">
        <v>44980.701249999998</v>
      </c>
      <c r="B5">
        <v>68</v>
      </c>
      <c r="C5">
        <v>32</v>
      </c>
      <c r="D5">
        <v>0</v>
      </c>
      <c r="E5">
        <v>0</v>
      </c>
      <c r="F5">
        <v>0</v>
      </c>
      <c r="J5">
        <v>100</v>
      </c>
    </row>
    <row r="6" spans="1:10" x14ac:dyDescent="0.3">
      <c r="A6" s="1">
        <v>44980.701261574075</v>
      </c>
      <c r="B6">
        <v>78</v>
      </c>
      <c r="C6">
        <v>22</v>
      </c>
      <c r="D6">
        <v>0</v>
      </c>
      <c r="E6">
        <v>0</v>
      </c>
      <c r="F6">
        <v>0</v>
      </c>
      <c r="J6">
        <v>100</v>
      </c>
    </row>
    <row r="7" spans="1:10" x14ac:dyDescent="0.3">
      <c r="A7" s="1">
        <v>44980.701273148145</v>
      </c>
      <c r="B7">
        <v>84.2</v>
      </c>
      <c r="C7">
        <v>15.8</v>
      </c>
      <c r="D7">
        <v>0</v>
      </c>
      <c r="E7">
        <v>0</v>
      </c>
      <c r="F7">
        <v>0</v>
      </c>
      <c r="J7">
        <v>100</v>
      </c>
    </row>
    <row r="8" spans="1:10" x14ac:dyDescent="0.3">
      <c r="A8" s="1">
        <v>44980.701284722221</v>
      </c>
      <c r="B8">
        <v>81.8</v>
      </c>
      <c r="C8">
        <v>18.2</v>
      </c>
      <c r="D8">
        <v>0</v>
      </c>
      <c r="E8">
        <v>0</v>
      </c>
      <c r="F8">
        <v>0</v>
      </c>
      <c r="J8">
        <v>100</v>
      </c>
    </row>
    <row r="9" spans="1:10" x14ac:dyDescent="0.3">
      <c r="A9" s="1">
        <v>44980.701296296298</v>
      </c>
      <c r="B9">
        <v>83</v>
      </c>
      <c r="C9">
        <v>17</v>
      </c>
      <c r="D9">
        <v>0</v>
      </c>
      <c r="E9">
        <v>0</v>
      </c>
      <c r="F9">
        <v>0</v>
      </c>
      <c r="J9">
        <v>100</v>
      </c>
    </row>
    <row r="10" spans="1:10" x14ac:dyDescent="0.3">
      <c r="A10" s="1">
        <v>44980.701307870368</v>
      </c>
      <c r="B10">
        <v>86.1</v>
      </c>
      <c r="C10">
        <v>8.9</v>
      </c>
      <c r="D10">
        <v>0</v>
      </c>
      <c r="E10">
        <v>5</v>
      </c>
      <c r="F10">
        <v>0</v>
      </c>
      <c r="J10">
        <v>95</v>
      </c>
    </row>
    <row r="11" spans="1:10" x14ac:dyDescent="0.3">
      <c r="A11" s="1">
        <v>44980.701319444444</v>
      </c>
      <c r="B11">
        <v>0</v>
      </c>
      <c r="C11">
        <v>0</v>
      </c>
      <c r="D11">
        <v>0</v>
      </c>
      <c r="E11">
        <v>100</v>
      </c>
      <c r="F11">
        <v>0</v>
      </c>
      <c r="J11">
        <v>0</v>
      </c>
    </row>
    <row r="13" spans="1:10" x14ac:dyDescent="0.3">
      <c r="A13" t="s">
        <v>803</v>
      </c>
      <c r="B13">
        <v>48.89</v>
      </c>
      <c r="C13">
        <v>12.919999999999998</v>
      </c>
      <c r="D13">
        <v>0</v>
      </c>
      <c r="E13">
        <v>38.18</v>
      </c>
      <c r="F13">
        <v>0</v>
      </c>
      <c r="G13" t="e">
        <v>#DIV/0!</v>
      </c>
      <c r="H13" t="e">
        <v>#DIV/0!</v>
      </c>
      <c r="I13" t="e">
        <v>#DIV/0!</v>
      </c>
      <c r="J13">
        <v>61.81</v>
      </c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403E1-E955-46CD-9C08-5F919512BAA7}">
  <dimension ref="A1:J13"/>
  <sheetViews>
    <sheetView workbookViewId="0">
      <pane xSplit="1" ySplit="1" topLeftCell="B13" activePane="bottomRight" state="frozen"/>
      <selection pane="topRight" activeCell="B1" sqref="B1"/>
      <selection pane="bottomLeft" activeCell="A2" sqref="A2"/>
      <selection pane="bottomRight"/>
    </sheetView>
  </sheetViews>
  <sheetFormatPr defaultRowHeight="14.4" x14ac:dyDescent="0.3"/>
  <sheetData>
    <row r="1" spans="1:10" x14ac:dyDescent="0.3">
      <c r="A1" t="s">
        <v>680</v>
      </c>
      <c r="B1" t="s">
        <v>652</v>
      </c>
      <c r="C1" t="s">
        <v>653</v>
      </c>
      <c r="D1" t="s">
        <v>654</v>
      </c>
      <c r="E1" t="s">
        <v>655</v>
      </c>
      <c r="F1" t="s">
        <v>656</v>
      </c>
      <c r="J1" t="s">
        <v>802</v>
      </c>
    </row>
    <row r="2" spans="1:10" x14ac:dyDescent="0.3">
      <c r="A2" s="1">
        <v>44980.701215277775</v>
      </c>
      <c r="B2">
        <v>2.2999999999999998</v>
      </c>
      <c r="C2">
        <v>3.8</v>
      </c>
      <c r="D2">
        <v>0</v>
      </c>
      <c r="E2">
        <v>94</v>
      </c>
      <c r="F2">
        <v>0</v>
      </c>
      <c r="J2">
        <v>6.1</v>
      </c>
    </row>
    <row r="3" spans="1:10" x14ac:dyDescent="0.3">
      <c r="A3" s="1">
        <v>44980.701226851852</v>
      </c>
      <c r="B3">
        <v>0</v>
      </c>
      <c r="C3">
        <v>0</v>
      </c>
      <c r="D3">
        <v>0</v>
      </c>
      <c r="E3">
        <v>100</v>
      </c>
      <c r="F3">
        <v>0</v>
      </c>
      <c r="J3">
        <v>0</v>
      </c>
    </row>
    <row r="4" spans="1:10" x14ac:dyDescent="0.3">
      <c r="A4" s="1">
        <v>44980.701238425929</v>
      </c>
      <c r="B4">
        <v>8.6999999999999993</v>
      </c>
      <c r="C4">
        <v>18.3</v>
      </c>
      <c r="D4">
        <v>0</v>
      </c>
      <c r="E4">
        <v>73.099999999999994</v>
      </c>
      <c r="F4">
        <v>0</v>
      </c>
      <c r="J4">
        <v>27</v>
      </c>
    </row>
    <row r="5" spans="1:10" x14ac:dyDescent="0.3">
      <c r="A5" s="1">
        <v>44980.701249999998</v>
      </c>
      <c r="B5">
        <v>69</v>
      </c>
      <c r="C5">
        <v>31</v>
      </c>
      <c r="D5">
        <v>0</v>
      </c>
      <c r="E5">
        <v>0</v>
      </c>
      <c r="F5">
        <v>0</v>
      </c>
      <c r="J5">
        <v>100</v>
      </c>
    </row>
    <row r="6" spans="1:10" x14ac:dyDescent="0.3">
      <c r="A6" s="1">
        <v>44980.701261574075</v>
      </c>
      <c r="B6">
        <v>69</v>
      </c>
      <c r="C6">
        <v>31</v>
      </c>
      <c r="D6">
        <v>0</v>
      </c>
      <c r="E6">
        <v>0</v>
      </c>
      <c r="F6">
        <v>0</v>
      </c>
      <c r="J6">
        <v>100</v>
      </c>
    </row>
    <row r="7" spans="1:10" x14ac:dyDescent="0.3">
      <c r="A7" s="1">
        <v>44980.701273148145</v>
      </c>
      <c r="B7">
        <v>82</v>
      </c>
      <c r="C7">
        <v>18</v>
      </c>
      <c r="D7">
        <v>0</v>
      </c>
      <c r="E7">
        <v>0</v>
      </c>
      <c r="F7">
        <v>0</v>
      </c>
      <c r="J7">
        <v>100</v>
      </c>
    </row>
    <row r="8" spans="1:10" x14ac:dyDescent="0.3">
      <c r="A8" s="1">
        <v>44980.701284722221</v>
      </c>
      <c r="B8">
        <v>82</v>
      </c>
      <c r="C8">
        <v>18</v>
      </c>
      <c r="D8">
        <v>0</v>
      </c>
      <c r="E8">
        <v>0</v>
      </c>
      <c r="F8">
        <v>0</v>
      </c>
      <c r="J8">
        <v>100</v>
      </c>
    </row>
    <row r="9" spans="1:10" x14ac:dyDescent="0.3">
      <c r="A9" s="1">
        <v>44980.701296296298</v>
      </c>
      <c r="B9">
        <v>82</v>
      </c>
      <c r="C9">
        <v>18</v>
      </c>
      <c r="D9">
        <v>0</v>
      </c>
      <c r="E9">
        <v>0</v>
      </c>
      <c r="F9">
        <v>0</v>
      </c>
      <c r="J9">
        <v>100</v>
      </c>
    </row>
    <row r="10" spans="1:10" x14ac:dyDescent="0.3">
      <c r="A10" s="1">
        <v>44980.701307870368</v>
      </c>
      <c r="B10">
        <v>81</v>
      </c>
      <c r="C10">
        <v>14</v>
      </c>
      <c r="D10">
        <v>0</v>
      </c>
      <c r="E10">
        <v>5</v>
      </c>
      <c r="F10">
        <v>0</v>
      </c>
      <c r="J10">
        <v>95</v>
      </c>
    </row>
    <row r="11" spans="1:10" x14ac:dyDescent="0.3">
      <c r="A11" s="1">
        <v>44980.701319444444</v>
      </c>
      <c r="B11">
        <v>0</v>
      </c>
      <c r="C11">
        <v>0</v>
      </c>
      <c r="D11">
        <v>0</v>
      </c>
      <c r="E11">
        <v>100</v>
      </c>
      <c r="F11">
        <v>0</v>
      </c>
      <c r="J11">
        <v>0</v>
      </c>
    </row>
    <row r="13" spans="1:10" x14ac:dyDescent="0.3">
      <c r="A13" t="s">
        <v>803</v>
      </c>
      <c r="B13">
        <v>47.6</v>
      </c>
      <c r="C13">
        <v>15.209999999999999</v>
      </c>
      <c r="D13">
        <v>0</v>
      </c>
      <c r="E13">
        <v>37.21</v>
      </c>
      <c r="F13">
        <v>0</v>
      </c>
      <c r="G13" t="e">
        <v>#DIV/0!</v>
      </c>
      <c r="H13" t="e">
        <v>#DIV/0!</v>
      </c>
      <c r="I13" t="e">
        <v>#DIV/0!</v>
      </c>
      <c r="J13">
        <v>62.81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26</vt:i4>
      </vt:variant>
      <vt:variant>
        <vt:lpstr>Named Ranges</vt:lpstr>
      </vt:variant>
      <vt:variant>
        <vt:i4>17</vt:i4>
      </vt:variant>
    </vt:vector>
  </HeadingPairs>
  <TitlesOfParts>
    <vt:vector size="43" baseType="lpstr">
      <vt:lpstr>SYS_SUMM</vt:lpstr>
      <vt:lpstr>AAA</vt:lpstr>
      <vt:lpstr>BBBP</vt:lpstr>
      <vt:lpstr>DISK_SUMM</vt:lpstr>
      <vt:lpstr>CPU_ALL</vt:lpstr>
      <vt:lpstr>CPU_SUMM</vt:lpstr>
      <vt:lpstr>DISKBSIZE</vt:lpstr>
      <vt:lpstr>DISKBUSY</vt:lpstr>
      <vt:lpstr>DISKREAD</vt:lpstr>
      <vt:lpstr>DISKWRITE</vt:lpstr>
      <vt:lpstr>DISKXFER</vt:lpstr>
      <vt:lpstr>JFSFILE</vt:lpstr>
      <vt:lpstr>MEM</vt:lpstr>
      <vt:lpstr>NET</vt:lpstr>
      <vt:lpstr>NETPACKET</vt:lpstr>
      <vt:lpstr>PROC</vt:lpstr>
      <vt:lpstr>VM</vt:lpstr>
      <vt:lpstr>ZZZZ</vt:lpstr>
      <vt:lpstr>CPU001</vt:lpstr>
      <vt:lpstr>CPU002</vt:lpstr>
      <vt:lpstr>CPU003</vt:lpstr>
      <vt:lpstr>CPU004</vt:lpstr>
      <vt:lpstr>CPU005</vt:lpstr>
      <vt:lpstr>CPU006</vt:lpstr>
      <vt:lpstr>CPU007</vt:lpstr>
      <vt:lpstr>CPU008</vt:lpstr>
      <vt:lpstr>boottime</vt:lpstr>
      <vt:lpstr>command</vt:lpstr>
      <vt:lpstr>cpus</vt:lpstr>
      <vt:lpstr>date</vt:lpstr>
      <vt:lpstr>disks</vt:lpstr>
      <vt:lpstr>disks_per_line</vt:lpstr>
      <vt:lpstr>host</vt:lpstr>
      <vt:lpstr>interval</vt:lpstr>
      <vt:lpstr>max_disks</vt:lpstr>
      <vt:lpstr>OS</vt:lpstr>
      <vt:lpstr>proc_stat_variables</vt:lpstr>
      <vt:lpstr>progname</vt:lpstr>
      <vt:lpstr>runname</vt:lpstr>
      <vt:lpstr>snapshots</vt:lpstr>
      <vt:lpstr>steal</vt:lpstr>
      <vt:lpstr>user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Niteesh Dubey</dc:creator>
  <cp:lastModifiedBy>Niteesh Dubey</cp:lastModifiedBy>
  <dcterms:created xsi:type="dcterms:W3CDTF">2023-02-23T17:09:52Z</dcterms:created>
  <dcterms:modified xsi:type="dcterms:W3CDTF">2023-02-23T17:10:15Z</dcterms:modified>
</cp:coreProperties>
</file>